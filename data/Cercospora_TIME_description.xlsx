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lsuagctr-my.sharepoint.com/personal/acerutti_agcenter_lsu_edu/Documents/Documents/GitHub/Cercospora_TIME/data/"/>
    </mc:Choice>
  </mc:AlternateContent>
  <xr:revisionPtr revIDLastSave="796" documentId="8_{B521CAD1-B04F-41B4-8C4D-BBC1E172B03C}" xr6:coauthVersionLast="47" xr6:coauthVersionMax="47" xr10:uidLastSave="{0BDB7F26-B3D6-4FBB-A82D-FD3E807375E7}"/>
  <bookViews>
    <workbookView xWindow="-120" yWindow="-120" windowWidth="29040" windowHeight="15720" xr2:uid="{58E64BEA-56DB-4F46-BCEA-90D1CD645A95}"/>
  </bookViews>
  <sheets>
    <sheet name="TIME" sheetId="8" r:id="rId1"/>
    <sheet name="TIME24" sheetId="7" r:id="rId2"/>
    <sheet name="TIME25" sheetId="9" r:id="rId3"/>
  </sheets>
  <definedNames>
    <definedName name="_xlnm._FilterDatabase" localSheetId="0" hidden="1">TIME!$A$1:$X$404</definedName>
    <definedName name="_xlnm._FilterDatabase" localSheetId="1" hidden="1">TIME24!$A$1:$X$137</definedName>
    <definedName name="_xlnm._FilterDatabase" localSheetId="2" hidden="1">TIME25!$A$1:$X$268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4" i="8" l="1"/>
  <c r="T84" i="8" s="1"/>
  <c r="S85" i="8"/>
  <c r="T85" i="8" s="1"/>
  <c r="S86" i="8"/>
  <c r="T86" i="8" s="1"/>
  <c r="U86" i="8" s="1"/>
  <c r="S87" i="8"/>
  <c r="T87" i="8" s="1"/>
  <c r="U87" i="8" s="1"/>
  <c r="S88" i="8"/>
  <c r="T88" i="8" s="1"/>
  <c r="U88" i="8" s="1"/>
  <c r="S89" i="8"/>
  <c r="T89" i="8" s="1"/>
  <c r="U89" i="8" s="1"/>
  <c r="S90" i="8"/>
  <c r="T90" i="8" s="1"/>
  <c r="S91" i="8"/>
  <c r="T91" i="8" s="1"/>
  <c r="S92" i="8"/>
  <c r="T92" i="8" s="1"/>
  <c r="S93" i="8"/>
  <c r="T93" i="8" s="1"/>
  <c r="U93" i="8" s="1"/>
  <c r="S94" i="8"/>
  <c r="T94" i="8" s="1"/>
  <c r="S95" i="8"/>
  <c r="T95" i="8" s="1"/>
  <c r="S96" i="8"/>
  <c r="T96" i="8" s="1"/>
  <c r="U96" i="8" s="1"/>
  <c r="S97" i="8"/>
  <c r="T97" i="8" s="1"/>
  <c r="U97" i="8" s="1"/>
  <c r="S98" i="8"/>
  <c r="T98" i="8" s="1"/>
  <c r="S99" i="8"/>
  <c r="T99" i="8" s="1"/>
  <c r="S100" i="8"/>
  <c r="T100" i="8" s="1"/>
  <c r="U100" i="8" s="1"/>
  <c r="S101" i="8"/>
  <c r="T101" i="8" s="1"/>
  <c r="U101" i="8" s="1"/>
  <c r="S102" i="8"/>
  <c r="T102" i="8" s="1"/>
  <c r="U102" i="8" s="1"/>
  <c r="S103" i="8"/>
  <c r="T103" i="8" s="1"/>
  <c r="U103" i="8" s="1"/>
  <c r="S104" i="8"/>
  <c r="T104" i="8" s="1"/>
  <c r="U104" i="8" s="1"/>
  <c r="S105" i="8"/>
  <c r="T105" i="8" s="1"/>
  <c r="U105" i="8" s="1"/>
  <c r="S106" i="8"/>
  <c r="T106" i="8" s="1"/>
  <c r="S107" i="8"/>
  <c r="T107" i="8" s="1"/>
  <c r="S108" i="8"/>
  <c r="T108" i="8" s="1"/>
  <c r="U108" i="8" s="1"/>
  <c r="S109" i="8"/>
  <c r="T109" i="8" s="1"/>
  <c r="U109" i="8" s="1"/>
  <c r="S110" i="8"/>
  <c r="T110" i="8" s="1"/>
  <c r="U110" i="8" s="1"/>
  <c r="S111" i="8"/>
  <c r="T111" i="8" s="1"/>
  <c r="U111" i="8" s="1"/>
  <c r="S112" i="8"/>
  <c r="T112" i="8" s="1"/>
  <c r="U112" i="8" s="1"/>
  <c r="S113" i="8"/>
  <c r="T113" i="8" s="1"/>
  <c r="U113" i="8" s="1"/>
  <c r="S114" i="8"/>
  <c r="T114" i="8" s="1"/>
  <c r="S115" i="8"/>
  <c r="T115" i="8" s="1"/>
  <c r="S116" i="8"/>
  <c r="T116" i="8" s="1"/>
  <c r="U116" i="8" s="1"/>
  <c r="S117" i="8"/>
  <c r="T117" i="8" s="1"/>
  <c r="U117" i="8" s="1"/>
  <c r="S118" i="8"/>
  <c r="T118" i="8" s="1"/>
  <c r="U118" i="8" s="1"/>
  <c r="S119" i="8"/>
  <c r="T119" i="8" s="1"/>
  <c r="U119" i="8" s="1"/>
  <c r="S120" i="8"/>
  <c r="T120" i="8" s="1"/>
  <c r="U120" i="8" s="1"/>
  <c r="S121" i="8"/>
  <c r="T121" i="8" s="1"/>
  <c r="U121" i="8" s="1"/>
  <c r="S122" i="8"/>
  <c r="T122" i="8" s="1"/>
  <c r="S123" i="8"/>
  <c r="T123" i="8" s="1"/>
  <c r="S124" i="8"/>
  <c r="T124" i="8" s="1"/>
  <c r="S125" i="8"/>
  <c r="T125" i="8" s="1"/>
  <c r="S126" i="8"/>
  <c r="T126" i="8" s="1"/>
  <c r="U126" i="8" s="1"/>
  <c r="S127" i="8"/>
  <c r="T127" i="8" s="1"/>
  <c r="U127" i="8" s="1"/>
  <c r="S128" i="8"/>
  <c r="T128" i="8" s="1"/>
  <c r="U128" i="8" s="1"/>
  <c r="S129" i="8"/>
  <c r="T129" i="8" s="1"/>
  <c r="U129" i="8" s="1"/>
  <c r="S130" i="8"/>
  <c r="T130" i="8" s="1"/>
  <c r="S131" i="8"/>
  <c r="T131" i="8" s="1"/>
  <c r="S132" i="8"/>
  <c r="T132" i="8" s="1"/>
  <c r="S133" i="8"/>
  <c r="T133" i="8" s="1"/>
  <c r="U133" i="8" s="1"/>
  <c r="S134" i="8"/>
  <c r="T134" i="8" s="1"/>
  <c r="U134" i="8" s="1"/>
  <c r="S135" i="8"/>
  <c r="T135" i="8" s="1"/>
  <c r="S136" i="8"/>
  <c r="T136" i="8" s="1"/>
  <c r="U136" i="8" s="1"/>
  <c r="S137" i="8"/>
  <c r="T137" i="8" s="1"/>
  <c r="U137" i="8" s="1"/>
  <c r="S138" i="8"/>
  <c r="T138" i="8" s="1"/>
  <c r="U138" i="8" s="1"/>
  <c r="S139" i="8"/>
  <c r="T139" i="8" s="1"/>
  <c r="U139" i="8" s="1"/>
  <c r="S140" i="8"/>
  <c r="T140" i="8" s="1"/>
  <c r="U140" i="8" s="1"/>
  <c r="S141" i="8"/>
  <c r="T141" i="8" s="1"/>
  <c r="U141" i="8" s="1"/>
  <c r="S142" i="8"/>
  <c r="T142" i="8" s="1"/>
  <c r="U142" i="8" s="1"/>
  <c r="S143" i="8"/>
  <c r="T143" i="8" s="1"/>
  <c r="S144" i="8"/>
  <c r="T144" i="8" s="1"/>
  <c r="U144" i="8" s="1"/>
  <c r="S145" i="8"/>
  <c r="T145" i="8" s="1"/>
  <c r="U145" i="8" s="1"/>
  <c r="S146" i="8"/>
  <c r="T146" i="8" s="1"/>
  <c r="U146" i="8" s="1"/>
  <c r="S147" i="8"/>
  <c r="T147" i="8" s="1"/>
  <c r="U147" i="8" s="1"/>
  <c r="S148" i="8"/>
  <c r="T148" i="8" s="1"/>
  <c r="U148" i="8" s="1"/>
  <c r="S149" i="8"/>
  <c r="T149" i="8" s="1"/>
  <c r="U149" i="8" s="1"/>
  <c r="S150" i="8"/>
  <c r="T150" i="8" s="1"/>
  <c r="U150" i="8" s="1"/>
  <c r="S151" i="8"/>
  <c r="T151" i="8" s="1"/>
  <c r="U151" i="8" s="1"/>
  <c r="S152" i="8"/>
  <c r="T152" i="8" s="1"/>
  <c r="U152" i="8" s="1"/>
  <c r="S153" i="8"/>
  <c r="T153" i="8" s="1"/>
  <c r="U153" i="8" s="1"/>
  <c r="S154" i="8"/>
  <c r="T154" i="8" s="1"/>
  <c r="U154" i="8" s="1"/>
  <c r="S155" i="8"/>
  <c r="T155" i="8" s="1"/>
  <c r="U155" i="8" s="1"/>
  <c r="S156" i="8"/>
  <c r="T156" i="8" s="1"/>
  <c r="U156" i="8" s="1"/>
  <c r="S157" i="8"/>
  <c r="T157" i="8" s="1"/>
  <c r="U157" i="8" s="1"/>
  <c r="S158" i="8"/>
  <c r="T158" i="8" s="1"/>
  <c r="U158" i="8" s="1"/>
  <c r="S159" i="8"/>
  <c r="T159" i="8" s="1"/>
  <c r="U159" i="8" s="1"/>
  <c r="S160" i="8"/>
  <c r="T160" i="8" s="1"/>
  <c r="U160" i="8" s="1"/>
  <c r="S161" i="8"/>
  <c r="T161" i="8" s="1"/>
  <c r="U161" i="8" s="1"/>
  <c r="S162" i="8"/>
  <c r="T162" i="8" s="1"/>
  <c r="U162" i="8" s="1"/>
  <c r="S163" i="8"/>
  <c r="T163" i="8" s="1"/>
  <c r="U163" i="8" s="1"/>
  <c r="S164" i="8"/>
  <c r="T164" i="8" s="1"/>
  <c r="U164" i="8" s="1"/>
  <c r="S165" i="8"/>
  <c r="T165" i="8" s="1"/>
  <c r="U165" i="8" s="1"/>
  <c r="S166" i="8"/>
  <c r="T166" i="8" s="1"/>
  <c r="U166" i="8" s="1"/>
  <c r="S167" i="8"/>
  <c r="T167" i="8" s="1"/>
  <c r="U167" i="8" s="1"/>
  <c r="S168" i="8"/>
  <c r="T168" i="8" s="1"/>
  <c r="U168" i="8" s="1"/>
  <c r="S169" i="8"/>
  <c r="T169" i="8" s="1"/>
  <c r="U169" i="8" s="1"/>
  <c r="S170" i="8"/>
  <c r="T170" i="8" s="1"/>
  <c r="U170" i="8" s="1"/>
  <c r="S171" i="8"/>
  <c r="T171" i="8" s="1"/>
  <c r="U171" i="8" s="1"/>
  <c r="S172" i="8"/>
  <c r="T172" i="8" s="1"/>
  <c r="U172" i="8" s="1"/>
  <c r="S173" i="8"/>
  <c r="T173" i="8" s="1"/>
  <c r="U173" i="8" s="1"/>
  <c r="S174" i="8"/>
  <c r="T174" i="8" s="1"/>
  <c r="U174" i="8" s="1"/>
  <c r="S175" i="8"/>
  <c r="T175" i="8" s="1"/>
  <c r="U175" i="8" s="1"/>
  <c r="S176" i="8"/>
  <c r="T176" i="8" s="1"/>
  <c r="U176" i="8" s="1"/>
  <c r="S177" i="8"/>
  <c r="T177" i="8" s="1"/>
  <c r="U177" i="8" s="1"/>
  <c r="S178" i="8"/>
  <c r="T178" i="8" s="1"/>
  <c r="U178" i="8" s="1"/>
  <c r="S179" i="8"/>
  <c r="T179" i="8" s="1"/>
  <c r="U179" i="8" s="1"/>
  <c r="S180" i="8"/>
  <c r="T180" i="8" s="1"/>
  <c r="U180" i="8" s="1"/>
  <c r="S181" i="8"/>
  <c r="T181" i="8" s="1"/>
  <c r="U181" i="8" s="1"/>
  <c r="S182" i="8"/>
  <c r="T182" i="8" s="1"/>
  <c r="U182" i="8" s="1"/>
  <c r="S183" i="8"/>
  <c r="T183" i="8" s="1"/>
  <c r="U183" i="8" s="1"/>
  <c r="S184" i="8"/>
  <c r="T184" i="8" s="1"/>
  <c r="U184" i="8" s="1"/>
  <c r="S185" i="8"/>
  <c r="T185" i="8" s="1"/>
  <c r="U185" i="8" s="1"/>
  <c r="S186" i="8"/>
  <c r="T186" i="8" s="1"/>
  <c r="U186" i="8" s="1"/>
  <c r="S187" i="8"/>
  <c r="T187" i="8" s="1"/>
  <c r="U187" i="8" s="1"/>
  <c r="S188" i="8"/>
  <c r="T188" i="8" s="1"/>
  <c r="U188" i="8" s="1"/>
  <c r="S189" i="8"/>
  <c r="T189" i="8" s="1"/>
  <c r="U189" i="8" s="1"/>
  <c r="S190" i="8"/>
  <c r="T190" i="8" s="1"/>
  <c r="U190" i="8" s="1"/>
  <c r="S191" i="8"/>
  <c r="T191" i="8" s="1"/>
  <c r="U191" i="8" s="1"/>
  <c r="S192" i="8"/>
  <c r="T192" i="8" s="1"/>
  <c r="U192" i="8" s="1"/>
  <c r="S193" i="8"/>
  <c r="T193" i="8" s="1"/>
  <c r="U193" i="8" s="1"/>
  <c r="S194" i="8"/>
  <c r="T194" i="8" s="1"/>
  <c r="U194" i="8" s="1"/>
  <c r="S195" i="8"/>
  <c r="T195" i="8" s="1"/>
  <c r="U195" i="8" s="1"/>
  <c r="S196" i="8"/>
  <c r="T196" i="8" s="1"/>
  <c r="U196" i="8" s="1"/>
  <c r="S197" i="8"/>
  <c r="T197" i="8" s="1"/>
  <c r="U197" i="8" s="1"/>
  <c r="S198" i="8"/>
  <c r="T198" i="8" s="1"/>
  <c r="U198" i="8" s="1"/>
  <c r="S199" i="8"/>
  <c r="T199" i="8" s="1"/>
  <c r="U199" i="8" s="1"/>
  <c r="S200" i="8"/>
  <c r="T200" i="8" s="1"/>
  <c r="U200" i="8" s="1"/>
  <c r="S201" i="8"/>
  <c r="T201" i="8" s="1"/>
  <c r="U201" i="8" s="1"/>
  <c r="S202" i="8"/>
  <c r="T202" i="8" s="1"/>
  <c r="U202" i="8" s="1"/>
  <c r="S203" i="8"/>
  <c r="T203" i="8" s="1"/>
  <c r="U203" i="8" s="1"/>
  <c r="S204" i="8"/>
  <c r="T204" i="8" s="1"/>
  <c r="U204" i="8" s="1"/>
  <c r="S205" i="8"/>
  <c r="T205" i="8" s="1"/>
  <c r="U205" i="8" s="1"/>
  <c r="S206" i="8"/>
  <c r="T206" i="8" s="1"/>
  <c r="U206" i="8" s="1"/>
  <c r="S207" i="8"/>
  <c r="T207" i="8" s="1"/>
  <c r="S208" i="8"/>
  <c r="T208" i="8" s="1"/>
  <c r="U208" i="8" s="1"/>
  <c r="S209" i="8"/>
  <c r="T209" i="8" s="1"/>
  <c r="U209" i="8" s="1"/>
  <c r="S210" i="8"/>
  <c r="T210" i="8" s="1"/>
  <c r="U210" i="8" s="1"/>
  <c r="S211" i="8"/>
  <c r="T211" i="8" s="1"/>
  <c r="U211" i="8" s="1"/>
  <c r="S212" i="8"/>
  <c r="T212" i="8" s="1"/>
  <c r="U212" i="8" s="1"/>
  <c r="S213" i="8"/>
  <c r="T213" i="8" s="1"/>
  <c r="U213" i="8" s="1"/>
  <c r="S214" i="8"/>
  <c r="T214" i="8" s="1"/>
  <c r="U214" i="8" s="1"/>
  <c r="S215" i="8"/>
  <c r="T215" i="8" s="1"/>
  <c r="U215" i="8" s="1"/>
  <c r="S216" i="8"/>
  <c r="T216" i="8" s="1"/>
  <c r="U216" i="8" s="1"/>
  <c r="S217" i="8"/>
  <c r="T217" i="8" s="1"/>
  <c r="U217" i="8" s="1"/>
  <c r="S218" i="8"/>
  <c r="T218" i="8" s="1"/>
  <c r="U218" i="8" s="1"/>
  <c r="S219" i="8"/>
  <c r="T219" i="8" s="1"/>
  <c r="U219" i="8" s="1"/>
  <c r="S220" i="8"/>
  <c r="T220" i="8" s="1"/>
  <c r="U220" i="8" s="1"/>
  <c r="S221" i="8"/>
  <c r="T221" i="8" s="1"/>
  <c r="U221" i="8" s="1"/>
  <c r="S222" i="8"/>
  <c r="T222" i="8" s="1"/>
  <c r="U222" i="8" s="1"/>
  <c r="S223" i="8"/>
  <c r="T223" i="8" s="1"/>
  <c r="U223" i="8" s="1"/>
  <c r="S224" i="8"/>
  <c r="T224" i="8" s="1"/>
  <c r="U224" i="8" s="1"/>
  <c r="S225" i="8"/>
  <c r="T225" i="8" s="1"/>
  <c r="U225" i="8" s="1"/>
  <c r="S226" i="8"/>
  <c r="T226" i="8" s="1"/>
  <c r="U226" i="8" s="1"/>
  <c r="S227" i="8"/>
  <c r="T227" i="8" s="1"/>
  <c r="U227" i="8" s="1"/>
  <c r="S228" i="8"/>
  <c r="T228" i="8" s="1"/>
  <c r="U228" i="8" s="1"/>
  <c r="S229" i="8"/>
  <c r="T229" i="8" s="1"/>
  <c r="U229" i="8" s="1"/>
  <c r="S230" i="8"/>
  <c r="T230" i="8" s="1"/>
  <c r="U230" i="8" s="1"/>
  <c r="S231" i="8"/>
  <c r="T231" i="8" s="1"/>
  <c r="U231" i="8" s="1"/>
  <c r="S232" i="8"/>
  <c r="T232" i="8" s="1"/>
  <c r="U232" i="8" s="1"/>
  <c r="S233" i="8"/>
  <c r="T233" i="8" s="1"/>
  <c r="U233" i="8" s="1"/>
  <c r="S234" i="8"/>
  <c r="T234" i="8" s="1"/>
  <c r="U234" i="8" s="1"/>
  <c r="S235" i="8"/>
  <c r="T235" i="8" s="1"/>
  <c r="U235" i="8" s="1"/>
  <c r="S236" i="8"/>
  <c r="T236" i="8" s="1"/>
  <c r="U236" i="8" s="1"/>
  <c r="S237" i="8"/>
  <c r="T237" i="8" s="1"/>
  <c r="U237" i="8" s="1"/>
  <c r="S238" i="8"/>
  <c r="T238" i="8" s="1"/>
  <c r="U238" i="8" s="1"/>
  <c r="S239" i="8"/>
  <c r="T239" i="8" s="1"/>
  <c r="U239" i="8" s="1"/>
  <c r="S240" i="8"/>
  <c r="T240" i="8" s="1"/>
  <c r="U240" i="8" s="1"/>
  <c r="S241" i="8"/>
  <c r="T241" i="8" s="1"/>
  <c r="U241" i="8" s="1"/>
  <c r="S242" i="8"/>
  <c r="T242" i="8" s="1"/>
  <c r="U242" i="8" s="1"/>
  <c r="S243" i="8"/>
  <c r="T243" i="8" s="1"/>
  <c r="U243" i="8" s="1"/>
  <c r="S244" i="8"/>
  <c r="T244" i="8" s="1"/>
  <c r="S245" i="8"/>
  <c r="T245" i="8" s="1"/>
  <c r="U245" i="8" s="1"/>
  <c r="S246" i="8"/>
  <c r="T246" i="8" s="1"/>
  <c r="U246" i="8" s="1"/>
  <c r="S247" i="8"/>
  <c r="T247" i="8" s="1"/>
  <c r="U247" i="8" s="1"/>
  <c r="S248" i="8"/>
  <c r="T248" i="8" s="1"/>
  <c r="U248" i="8" s="1"/>
  <c r="S249" i="8"/>
  <c r="T249" i="8" s="1"/>
  <c r="U249" i="8" s="1"/>
  <c r="S250" i="8"/>
  <c r="T250" i="8" s="1"/>
  <c r="U250" i="8" s="1"/>
  <c r="S251" i="8"/>
  <c r="T251" i="8" s="1"/>
  <c r="U251" i="8" s="1"/>
  <c r="S252" i="8"/>
  <c r="T252" i="8" s="1"/>
  <c r="U252" i="8" s="1"/>
  <c r="S253" i="8"/>
  <c r="T253" i="8" s="1"/>
  <c r="U253" i="8" s="1"/>
  <c r="S254" i="8"/>
  <c r="T254" i="8" s="1"/>
  <c r="U254" i="8" s="1"/>
  <c r="S255" i="8"/>
  <c r="T255" i="8" s="1"/>
  <c r="U255" i="8" s="1"/>
  <c r="S256" i="8"/>
  <c r="T256" i="8" s="1"/>
  <c r="U256" i="8" s="1"/>
  <c r="S257" i="8"/>
  <c r="T257" i="8" s="1"/>
  <c r="U257" i="8" s="1"/>
  <c r="S258" i="8"/>
  <c r="T258" i="8" s="1"/>
  <c r="U258" i="8" s="1"/>
  <c r="S259" i="8"/>
  <c r="T259" i="8" s="1"/>
  <c r="U259" i="8" s="1"/>
  <c r="S260" i="8"/>
  <c r="T260" i="8" s="1"/>
  <c r="U260" i="8" s="1"/>
  <c r="S261" i="8"/>
  <c r="T261" i="8" s="1"/>
  <c r="U261" i="8" s="1"/>
  <c r="S262" i="8"/>
  <c r="T262" i="8" s="1"/>
  <c r="U262" i="8" s="1"/>
  <c r="S263" i="8"/>
  <c r="T263" i="8" s="1"/>
  <c r="U263" i="8" s="1"/>
  <c r="S264" i="8"/>
  <c r="T264" i="8" s="1"/>
  <c r="U264" i="8" s="1"/>
  <c r="S265" i="8"/>
  <c r="T265" i="8" s="1"/>
  <c r="U265" i="8" s="1"/>
  <c r="S266" i="8"/>
  <c r="T266" i="8" s="1"/>
  <c r="U266" i="8" s="1"/>
  <c r="S267" i="8"/>
  <c r="T267" i="8" s="1"/>
  <c r="U267" i="8" s="1"/>
  <c r="S268" i="8"/>
  <c r="T268" i="8" s="1"/>
  <c r="U268" i="8" s="1"/>
  <c r="S269" i="8"/>
  <c r="T269" i="8" s="1"/>
  <c r="U269" i="8" s="1"/>
  <c r="S270" i="8"/>
  <c r="T270" i="8" s="1"/>
  <c r="U270" i="8" s="1"/>
  <c r="S271" i="8"/>
  <c r="T271" i="8" s="1"/>
  <c r="U271" i="8" s="1"/>
  <c r="S272" i="8"/>
  <c r="T272" i="8" s="1"/>
  <c r="U272" i="8" s="1"/>
  <c r="S273" i="8"/>
  <c r="T273" i="8" s="1"/>
  <c r="U273" i="8" s="1"/>
  <c r="S274" i="8"/>
  <c r="T274" i="8" s="1"/>
  <c r="U274" i="8" s="1"/>
  <c r="S275" i="8"/>
  <c r="T275" i="8" s="1"/>
  <c r="U275" i="8" s="1"/>
  <c r="S276" i="8"/>
  <c r="T276" i="8" s="1"/>
  <c r="U276" i="8" s="1"/>
  <c r="S277" i="8"/>
  <c r="T277" i="8" s="1"/>
  <c r="U277" i="8" s="1"/>
  <c r="S278" i="8"/>
  <c r="T278" i="8" s="1"/>
  <c r="U278" i="8" s="1"/>
  <c r="S279" i="8"/>
  <c r="T279" i="8" s="1"/>
  <c r="U279" i="8" s="1"/>
  <c r="S280" i="8"/>
  <c r="T280" i="8" s="1"/>
  <c r="U280" i="8" s="1"/>
  <c r="S281" i="8"/>
  <c r="T281" i="8" s="1"/>
  <c r="U281" i="8" s="1"/>
  <c r="S282" i="8"/>
  <c r="T282" i="8" s="1"/>
  <c r="U282" i="8" s="1"/>
  <c r="S283" i="8"/>
  <c r="T283" i="8" s="1"/>
  <c r="U283" i="8" s="1"/>
  <c r="S284" i="8"/>
  <c r="T284" i="8" s="1"/>
  <c r="S285" i="8"/>
  <c r="T285" i="8" s="1"/>
  <c r="S286" i="8"/>
  <c r="T286" i="8" s="1"/>
  <c r="U286" i="8" s="1"/>
  <c r="S287" i="8"/>
  <c r="T287" i="8" s="1"/>
  <c r="U287" i="8" s="1"/>
  <c r="S288" i="8"/>
  <c r="T288" i="8" s="1"/>
  <c r="U288" i="8" s="1"/>
  <c r="S289" i="8"/>
  <c r="T289" i="8" s="1"/>
  <c r="U289" i="8" s="1"/>
  <c r="S290" i="8"/>
  <c r="T290" i="8" s="1"/>
  <c r="U290" i="8" s="1"/>
  <c r="S291" i="8"/>
  <c r="T291" i="8" s="1"/>
  <c r="U291" i="8" s="1"/>
  <c r="S292" i="8"/>
  <c r="T292" i="8" s="1"/>
  <c r="U292" i="8" s="1"/>
  <c r="S293" i="8"/>
  <c r="T293" i="8" s="1"/>
  <c r="U293" i="8" s="1"/>
  <c r="S294" i="8"/>
  <c r="T294" i="8" s="1"/>
  <c r="U294" i="8" s="1"/>
  <c r="S295" i="8"/>
  <c r="T295" i="8" s="1"/>
  <c r="U295" i="8" s="1"/>
  <c r="S296" i="8"/>
  <c r="T296" i="8" s="1"/>
  <c r="U296" i="8" s="1"/>
  <c r="S297" i="8"/>
  <c r="T297" i="8" s="1"/>
  <c r="U297" i="8" s="1"/>
  <c r="S298" i="8"/>
  <c r="T298" i="8" s="1"/>
  <c r="U298" i="8" s="1"/>
  <c r="S299" i="8"/>
  <c r="T299" i="8" s="1"/>
  <c r="U299" i="8" s="1"/>
  <c r="S300" i="8"/>
  <c r="T300" i="8" s="1"/>
  <c r="U300" i="8" s="1"/>
  <c r="S301" i="8"/>
  <c r="T301" i="8" s="1"/>
  <c r="U301" i="8" s="1"/>
  <c r="S302" i="8"/>
  <c r="T302" i="8" s="1"/>
  <c r="U302" i="8" s="1"/>
  <c r="S303" i="8"/>
  <c r="T303" i="8" s="1"/>
  <c r="U303" i="8" s="1"/>
  <c r="S304" i="8"/>
  <c r="T304" i="8" s="1"/>
  <c r="U304" i="8" s="1"/>
  <c r="S305" i="8"/>
  <c r="T305" i="8" s="1"/>
  <c r="U305" i="8" s="1"/>
  <c r="S306" i="8"/>
  <c r="T306" i="8" s="1"/>
  <c r="U306" i="8" s="1"/>
  <c r="S307" i="8"/>
  <c r="T307" i="8" s="1"/>
  <c r="U307" i="8" s="1"/>
  <c r="S308" i="8"/>
  <c r="T308" i="8" s="1"/>
  <c r="U308" i="8" s="1"/>
  <c r="S309" i="8"/>
  <c r="T309" i="8" s="1"/>
  <c r="U309" i="8" s="1"/>
  <c r="S310" i="8"/>
  <c r="T310" i="8" s="1"/>
  <c r="U310" i="8" s="1"/>
  <c r="S311" i="8"/>
  <c r="T311" i="8" s="1"/>
  <c r="U311" i="8" s="1"/>
  <c r="S312" i="8"/>
  <c r="T312" i="8" s="1"/>
  <c r="U312" i="8" s="1"/>
  <c r="S313" i="8"/>
  <c r="T313" i="8" s="1"/>
  <c r="U313" i="8" s="1"/>
  <c r="S314" i="8"/>
  <c r="T314" i="8" s="1"/>
  <c r="U314" i="8" s="1"/>
  <c r="S315" i="8"/>
  <c r="T315" i="8" s="1"/>
  <c r="U315" i="8" s="1"/>
  <c r="S316" i="8"/>
  <c r="T316" i="8" s="1"/>
  <c r="U316" i="8" s="1"/>
  <c r="S317" i="8"/>
  <c r="T317" i="8" s="1"/>
  <c r="U317" i="8" s="1"/>
  <c r="S318" i="8"/>
  <c r="T318" i="8" s="1"/>
  <c r="U318" i="8" s="1"/>
  <c r="S319" i="8"/>
  <c r="T319" i="8" s="1"/>
  <c r="U319" i="8" s="1"/>
  <c r="S320" i="8"/>
  <c r="T320" i="8" s="1"/>
  <c r="U320" i="8" s="1"/>
  <c r="S321" i="8"/>
  <c r="T321" i="8" s="1"/>
  <c r="U321" i="8" s="1"/>
  <c r="S322" i="8"/>
  <c r="T322" i="8" s="1"/>
  <c r="U322" i="8" s="1"/>
  <c r="S323" i="8"/>
  <c r="T323" i="8" s="1"/>
  <c r="U323" i="8" s="1"/>
  <c r="S324" i="8"/>
  <c r="T324" i="8" s="1"/>
  <c r="U324" i="8" s="1"/>
  <c r="S325" i="8"/>
  <c r="T325" i="8" s="1"/>
  <c r="U325" i="8" s="1"/>
  <c r="S326" i="8"/>
  <c r="T326" i="8" s="1"/>
  <c r="U326" i="8" s="1"/>
  <c r="S327" i="8"/>
  <c r="T327" i="8" s="1"/>
  <c r="U327" i="8" s="1"/>
  <c r="S328" i="8"/>
  <c r="T328" i="8" s="1"/>
  <c r="U328" i="8" s="1"/>
  <c r="S329" i="8"/>
  <c r="T329" i="8" s="1"/>
  <c r="U329" i="8" s="1"/>
  <c r="S330" i="8"/>
  <c r="T330" i="8" s="1"/>
  <c r="U330" i="8" s="1"/>
  <c r="S331" i="8"/>
  <c r="T331" i="8" s="1"/>
  <c r="U331" i="8" s="1"/>
  <c r="S332" i="8"/>
  <c r="T332" i="8" s="1"/>
  <c r="S333" i="8"/>
  <c r="T333" i="8" s="1"/>
  <c r="U333" i="8" s="1"/>
  <c r="S334" i="8"/>
  <c r="T334" i="8" s="1"/>
  <c r="U334" i="8" s="1"/>
  <c r="S335" i="8"/>
  <c r="T335" i="8" s="1"/>
  <c r="U335" i="8" s="1"/>
  <c r="S336" i="8"/>
  <c r="T336" i="8" s="1"/>
  <c r="U336" i="8" s="1"/>
  <c r="S337" i="8"/>
  <c r="T337" i="8" s="1"/>
  <c r="U337" i="8" s="1"/>
  <c r="S338" i="8"/>
  <c r="T338" i="8" s="1"/>
  <c r="U338" i="8" s="1"/>
  <c r="S339" i="8"/>
  <c r="T339" i="8" s="1"/>
  <c r="U339" i="8" s="1"/>
  <c r="S340" i="8"/>
  <c r="T340" i="8" s="1"/>
  <c r="U340" i="8" s="1"/>
  <c r="S341" i="8"/>
  <c r="T341" i="8" s="1"/>
  <c r="U341" i="8" s="1"/>
  <c r="S342" i="8"/>
  <c r="T342" i="8" s="1"/>
  <c r="U342" i="8" s="1"/>
  <c r="S343" i="8"/>
  <c r="T343" i="8" s="1"/>
  <c r="U343" i="8" s="1"/>
  <c r="S344" i="8"/>
  <c r="T344" i="8" s="1"/>
  <c r="U344" i="8" s="1"/>
  <c r="S345" i="8"/>
  <c r="T345" i="8" s="1"/>
  <c r="U345" i="8" s="1"/>
  <c r="S346" i="8"/>
  <c r="T346" i="8" s="1"/>
  <c r="U346" i="8" s="1"/>
  <c r="S347" i="8"/>
  <c r="T347" i="8" s="1"/>
  <c r="U347" i="8" s="1"/>
  <c r="S348" i="8"/>
  <c r="T348" i="8" s="1"/>
  <c r="U348" i="8" s="1"/>
  <c r="S349" i="8"/>
  <c r="T349" i="8" s="1"/>
  <c r="U349" i="8" s="1"/>
  <c r="S350" i="8"/>
  <c r="T350" i="8" s="1"/>
  <c r="U350" i="8" s="1"/>
  <c r="S351" i="8"/>
  <c r="T351" i="8" s="1"/>
  <c r="U351" i="8" s="1"/>
  <c r="S352" i="8"/>
  <c r="T352" i="8" s="1"/>
  <c r="U352" i="8" s="1"/>
  <c r="S353" i="8"/>
  <c r="T353" i="8" s="1"/>
  <c r="U353" i="8" s="1"/>
  <c r="S354" i="8"/>
  <c r="T354" i="8" s="1"/>
  <c r="U354" i="8" s="1"/>
  <c r="S355" i="8"/>
  <c r="T355" i="8" s="1"/>
  <c r="U355" i="8" s="1"/>
  <c r="S356" i="8"/>
  <c r="T356" i="8" s="1"/>
  <c r="U356" i="8" s="1"/>
  <c r="S357" i="8"/>
  <c r="T357" i="8" s="1"/>
  <c r="U357" i="8" s="1"/>
  <c r="S358" i="8"/>
  <c r="T358" i="8" s="1"/>
  <c r="U358" i="8" s="1"/>
  <c r="S359" i="8"/>
  <c r="T359" i="8" s="1"/>
  <c r="U359" i="8" s="1"/>
  <c r="S360" i="8"/>
  <c r="T360" i="8" s="1"/>
  <c r="U360" i="8" s="1"/>
  <c r="S361" i="8"/>
  <c r="T361" i="8" s="1"/>
  <c r="U361" i="8" s="1"/>
  <c r="S362" i="8"/>
  <c r="T362" i="8" s="1"/>
  <c r="U362" i="8" s="1"/>
  <c r="S363" i="8"/>
  <c r="T363" i="8" s="1"/>
  <c r="U363" i="8" s="1"/>
  <c r="S364" i="8"/>
  <c r="T364" i="8" s="1"/>
  <c r="U364" i="8" s="1"/>
  <c r="S365" i="8"/>
  <c r="T365" i="8" s="1"/>
  <c r="U365" i="8" s="1"/>
  <c r="S366" i="8"/>
  <c r="T366" i="8" s="1"/>
  <c r="U366" i="8" s="1"/>
  <c r="S367" i="8"/>
  <c r="T367" i="8" s="1"/>
  <c r="S368" i="8"/>
  <c r="T368" i="8" s="1"/>
  <c r="U368" i="8" s="1"/>
  <c r="S369" i="8"/>
  <c r="T369" i="8" s="1"/>
  <c r="U369" i="8" s="1"/>
  <c r="S370" i="8"/>
  <c r="T370" i="8" s="1"/>
  <c r="U370" i="8" s="1"/>
  <c r="S371" i="8"/>
  <c r="T371" i="8" s="1"/>
  <c r="U371" i="8" s="1"/>
  <c r="S372" i="8"/>
  <c r="T372" i="8" s="1"/>
  <c r="U372" i="8" s="1"/>
  <c r="S373" i="8"/>
  <c r="T373" i="8" s="1"/>
  <c r="U373" i="8" s="1"/>
  <c r="S374" i="8"/>
  <c r="T374" i="8" s="1"/>
  <c r="U374" i="8" s="1"/>
  <c r="S375" i="8"/>
  <c r="T375" i="8" s="1"/>
  <c r="U375" i="8" s="1"/>
  <c r="S376" i="8"/>
  <c r="T376" i="8" s="1"/>
  <c r="U376" i="8" s="1"/>
  <c r="S377" i="8"/>
  <c r="T377" i="8" s="1"/>
  <c r="U377" i="8" s="1"/>
  <c r="S378" i="8"/>
  <c r="T378" i="8" s="1"/>
  <c r="U378" i="8" s="1"/>
  <c r="S379" i="8"/>
  <c r="T379" i="8" s="1"/>
  <c r="U379" i="8" s="1"/>
  <c r="S380" i="8"/>
  <c r="T380" i="8" s="1"/>
  <c r="U380" i="8" s="1"/>
  <c r="S381" i="8"/>
  <c r="T381" i="8" s="1"/>
  <c r="U381" i="8" s="1"/>
  <c r="S382" i="8"/>
  <c r="T382" i="8" s="1"/>
  <c r="U382" i="8" s="1"/>
  <c r="S383" i="8"/>
  <c r="T383" i="8" s="1"/>
  <c r="U383" i="8" s="1"/>
  <c r="S384" i="8"/>
  <c r="T384" i="8" s="1"/>
  <c r="S385" i="8"/>
  <c r="T385" i="8" s="1"/>
  <c r="U385" i="8" s="1"/>
  <c r="S386" i="8"/>
  <c r="T386" i="8" s="1"/>
  <c r="U386" i="8" s="1"/>
  <c r="S387" i="8"/>
  <c r="T387" i="8" s="1"/>
  <c r="U387" i="8" s="1"/>
  <c r="S388" i="8"/>
  <c r="T388" i="8" s="1"/>
  <c r="U388" i="8" s="1"/>
  <c r="S389" i="8"/>
  <c r="T389" i="8" s="1"/>
  <c r="U389" i="8" s="1"/>
  <c r="S390" i="8"/>
  <c r="T390" i="8" s="1"/>
  <c r="U390" i="8" s="1"/>
  <c r="S391" i="8"/>
  <c r="T391" i="8" s="1"/>
  <c r="U391" i="8" s="1"/>
  <c r="S392" i="8"/>
  <c r="T392" i="8" s="1"/>
  <c r="U392" i="8" s="1"/>
  <c r="S393" i="8"/>
  <c r="T393" i="8" s="1"/>
  <c r="U393" i="8" s="1"/>
  <c r="S394" i="8"/>
  <c r="T394" i="8" s="1"/>
  <c r="U394" i="8" s="1"/>
  <c r="S395" i="8"/>
  <c r="T395" i="8" s="1"/>
  <c r="U395" i="8" s="1"/>
  <c r="S396" i="8"/>
  <c r="T396" i="8" s="1"/>
  <c r="U396" i="8" s="1"/>
  <c r="S397" i="8"/>
  <c r="T397" i="8" s="1"/>
  <c r="U397" i="8" s="1"/>
  <c r="S398" i="8"/>
  <c r="T398" i="8" s="1"/>
  <c r="U398" i="8" s="1"/>
  <c r="S399" i="8"/>
  <c r="T399" i="8" s="1"/>
  <c r="U399" i="8" s="1"/>
  <c r="S400" i="8"/>
  <c r="T400" i="8" s="1"/>
  <c r="U400" i="8" s="1"/>
  <c r="S401" i="8"/>
  <c r="T401" i="8" s="1"/>
  <c r="U401" i="8" s="1"/>
  <c r="S402" i="8"/>
  <c r="T402" i="8" s="1"/>
  <c r="U402" i="8" s="1"/>
  <c r="S403" i="8"/>
  <c r="T403" i="8" s="1"/>
  <c r="U403" i="8" s="1"/>
  <c r="S404" i="8"/>
  <c r="T404" i="8" s="1"/>
  <c r="U404" i="8" s="1"/>
  <c r="S83" i="8"/>
  <c r="T83" i="8" s="1"/>
  <c r="U83" i="8" s="1"/>
  <c r="S4" i="8"/>
  <c r="T4" i="8" s="1"/>
  <c r="S5" i="8"/>
  <c r="T5" i="8" s="1"/>
  <c r="U5" i="8" s="1"/>
  <c r="S6" i="8"/>
  <c r="T6" i="8" s="1"/>
  <c r="U6" i="8" s="1"/>
  <c r="S7" i="8"/>
  <c r="T7" i="8" s="1"/>
  <c r="U7" i="8" s="1"/>
  <c r="S8" i="8"/>
  <c r="T8" i="8" s="1"/>
  <c r="U8" i="8" s="1"/>
  <c r="S9" i="8"/>
  <c r="T9" i="8" s="1"/>
  <c r="U9" i="8" s="1"/>
  <c r="S10" i="8"/>
  <c r="T10" i="8" s="1"/>
  <c r="U10" i="8" s="1"/>
  <c r="S11" i="8"/>
  <c r="T11" i="8" s="1"/>
  <c r="U11" i="8" s="1"/>
  <c r="S12" i="8"/>
  <c r="T12" i="8" s="1"/>
  <c r="U12" i="8" s="1"/>
  <c r="S13" i="8"/>
  <c r="T13" i="8" s="1"/>
  <c r="U13" i="8" s="1"/>
  <c r="S14" i="8"/>
  <c r="T14" i="8" s="1"/>
  <c r="U14" i="8" s="1"/>
  <c r="S15" i="8"/>
  <c r="T15" i="8" s="1"/>
  <c r="U15" i="8" s="1"/>
  <c r="S16" i="8"/>
  <c r="T16" i="8" s="1"/>
  <c r="U16" i="8" s="1"/>
  <c r="S17" i="8"/>
  <c r="T17" i="8" s="1"/>
  <c r="U17" i="8" s="1"/>
  <c r="S18" i="8"/>
  <c r="T18" i="8" s="1"/>
  <c r="U18" i="8" s="1"/>
  <c r="S19" i="8"/>
  <c r="T19" i="8" s="1"/>
  <c r="U19" i="8" s="1"/>
  <c r="S20" i="8"/>
  <c r="T20" i="8" s="1"/>
  <c r="U20" i="8" s="1"/>
  <c r="S21" i="8"/>
  <c r="T21" i="8" s="1"/>
  <c r="U21" i="8" s="1"/>
  <c r="S22" i="8"/>
  <c r="T22" i="8" s="1"/>
  <c r="U22" i="8" s="1"/>
  <c r="S23" i="8"/>
  <c r="T23" i="8" s="1"/>
  <c r="U23" i="8" s="1"/>
  <c r="S24" i="8"/>
  <c r="T24" i="8" s="1"/>
  <c r="U24" i="8" s="1"/>
  <c r="S25" i="8"/>
  <c r="T25" i="8" s="1"/>
  <c r="U25" i="8" s="1"/>
  <c r="S26" i="8"/>
  <c r="T26" i="8" s="1"/>
  <c r="U26" i="8" s="1"/>
  <c r="S27" i="8"/>
  <c r="T27" i="8" s="1"/>
  <c r="U27" i="8" s="1"/>
  <c r="S28" i="8"/>
  <c r="T28" i="8" s="1"/>
  <c r="U28" i="8" s="1"/>
  <c r="S29" i="8"/>
  <c r="T29" i="8" s="1"/>
  <c r="U29" i="8" s="1"/>
  <c r="S30" i="8"/>
  <c r="T30" i="8" s="1"/>
  <c r="U30" i="8" s="1"/>
  <c r="S31" i="8"/>
  <c r="T31" i="8" s="1"/>
  <c r="U31" i="8" s="1"/>
  <c r="S32" i="8"/>
  <c r="T32" i="8" s="1"/>
  <c r="U32" i="8" s="1"/>
  <c r="S33" i="8"/>
  <c r="T33" i="8" s="1"/>
  <c r="U33" i="8" s="1"/>
  <c r="S34" i="8"/>
  <c r="T34" i="8" s="1"/>
  <c r="U34" i="8" s="1"/>
  <c r="S35" i="8"/>
  <c r="T35" i="8" s="1"/>
  <c r="U35" i="8" s="1"/>
  <c r="S36" i="8"/>
  <c r="T36" i="8" s="1"/>
  <c r="U36" i="8" s="1"/>
  <c r="S37" i="8"/>
  <c r="T37" i="8" s="1"/>
  <c r="U37" i="8" s="1"/>
  <c r="S38" i="8"/>
  <c r="T38" i="8" s="1"/>
  <c r="U38" i="8" s="1"/>
  <c r="S39" i="8"/>
  <c r="T39" i="8" s="1"/>
  <c r="U39" i="8" s="1"/>
  <c r="S40" i="8"/>
  <c r="T40" i="8" s="1"/>
  <c r="U40" i="8" s="1"/>
  <c r="S41" i="8"/>
  <c r="T41" i="8" s="1"/>
  <c r="U41" i="8" s="1"/>
  <c r="S42" i="8"/>
  <c r="T42" i="8" s="1"/>
  <c r="U42" i="8" s="1"/>
  <c r="S43" i="8"/>
  <c r="T43" i="8" s="1"/>
  <c r="U43" i="8" s="1"/>
  <c r="S44" i="8"/>
  <c r="T44" i="8" s="1"/>
  <c r="U44" i="8" s="1"/>
  <c r="S45" i="8"/>
  <c r="T45" i="8" s="1"/>
  <c r="U45" i="8" s="1"/>
  <c r="S46" i="8"/>
  <c r="T46" i="8" s="1"/>
  <c r="U46" i="8" s="1"/>
  <c r="S47" i="8"/>
  <c r="T47" i="8" s="1"/>
  <c r="U47" i="8" s="1"/>
  <c r="S48" i="8"/>
  <c r="T48" i="8" s="1"/>
  <c r="U48" i="8" s="1"/>
  <c r="S49" i="8"/>
  <c r="T49" i="8" s="1"/>
  <c r="U49" i="8" s="1"/>
  <c r="S50" i="8"/>
  <c r="T50" i="8" s="1"/>
  <c r="U50" i="8" s="1"/>
  <c r="S51" i="8"/>
  <c r="T51" i="8" s="1"/>
  <c r="U51" i="8" s="1"/>
  <c r="S52" i="8"/>
  <c r="T52" i="8" s="1"/>
  <c r="U52" i="8" s="1"/>
  <c r="S53" i="8"/>
  <c r="T53" i="8" s="1"/>
  <c r="U53" i="8" s="1"/>
  <c r="S54" i="8"/>
  <c r="T54" i="8" s="1"/>
  <c r="U54" i="8" s="1"/>
  <c r="S55" i="8"/>
  <c r="T55" i="8" s="1"/>
  <c r="U55" i="8" s="1"/>
  <c r="S56" i="8"/>
  <c r="T56" i="8" s="1"/>
  <c r="U56" i="8" s="1"/>
  <c r="S57" i="8"/>
  <c r="T57" i="8" s="1"/>
  <c r="U57" i="8" s="1"/>
  <c r="S58" i="8"/>
  <c r="T58" i="8" s="1"/>
  <c r="U58" i="8" s="1"/>
  <c r="S59" i="8"/>
  <c r="T59" i="8" s="1"/>
  <c r="U59" i="8" s="1"/>
  <c r="S60" i="8"/>
  <c r="T60" i="8" s="1"/>
  <c r="U60" i="8" s="1"/>
  <c r="S61" i="8"/>
  <c r="T61" i="8" s="1"/>
  <c r="U61" i="8" s="1"/>
  <c r="S62" i="8"/>
  <c r="T62" i="8" s="1"/>
  <c r="U62" i="8" s="1"/>
  <c r="S63" i="8"/>
  <c r="T63" i="8" s="1"/>
  <c r="U63" i="8" s="1"/>
  <c r="S64" i="8"/>
  <c r="T64" i="8" s="1"/>
  <c r="U64" i="8" s="1"/>
  <c r="S65" i="8"/>
  <c r="T65" i="8" s="1"/>
  <c r="U65" i="8" s="1"/>
  <c r="S66" i="8"/>
  <c r="T66" i="8" s="1"/>
  <c r="S67" i="8"/>
  <c r="T67" i="8" s="1"/>
  <c r="U67" i="8" s="1"/>
  <c r="S68" i="8"/>
  <c r="T68" i="8" s="1"/>
  <c r="U68" i="8" s="1"/>
  <c r="S69" i="8"/>
  <c r="T69" i="8" s="1"/>
  <c r="U69" i="8" s="1"/>
  <c r="S70" i="8"/>
  <c r="T70" i="8" s="1"/>
  <c r="U70" i="8" s="1"/>
  <c r="S71" i="8"/>
  <c r="T71" i="8" s="1"/>
  <c r="U71" i="8" s="1"/>
  <c r="S72" i="8"/>
  <c r="T72" i="8" s="1"/>
  <c r="U72" i="8" s="1"/>
  <c r="S73" i="8"/>
  <c r="T73" i="8" s="1"/>
  <c r="U73" i="8" s="1"/>
  <c r="S74" i="8"/>
  <c r="S75" i="8"/>
  <c r="T75" i="8" s="1"/>
  <c r="U75" i="8" s="1"/>
  <c r="S76" i="8"/>
  <c r="T76" i="8" s="1"/>
  <c r="U76" i="8" s="1"/>
  <c r="S77" i="8"/>
  <c r="T77" i="8" s="1"/>
  <c r="U77" i="8" s="1"/>
  <c r="S78" i="8"/>
  <c r="T78" i="8" s="1"/>
  <c r="U78" i="8" s="1"/>
  <c r="S79" i="8"/>
  <c r="T79" i="8" s="1"/>
  <c r="U79" i="8" s="1"/>
  <c r="S80" i="8"/>
  <c r="T80" i="8" s="1"/>
  <c r="U80" i="8" s="1"/>
  <c r="S81" i="8"/>
  <c r="T81" i="8" s="1"/>
  <c r="U81" i="8" s="1"/>
  <c r="S3" i="8"/>
  <c r="T3" i="8" s="1"/>
  <c r="U3" i="8" s="1"/>
  <c r="S2" i="8"/>
  <c r="T2" i="8" s="1"/>
  <c r="U2" i="8" s="1"/>
  <c r="U4" i="8"/>
  <c r="U143" i="8"/>
  <c r="U207" i="8"/>
  <c r="U244" i="8"/>
  <c r="U284" i="8"/>
  <c r="U285" i="8"/>
  <c r="U332" i="8"/>
  <c r="U367" i="8"/>
  <c r="U384" i="8"/>
  <c r="U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203" i="9"/>
  <c r="U204" i="9"/>
  <c r="U205" i="9"/>
  <c r="U206" i="9"/>
  <c r="U207" i="9"/>
  <c r="U208" i="9"/>
  <c r="U209" i="9"/>
  <c r="U210" i="9"/>
  <c r="U211" i="9"/>
  <c r="U212" i="9"/>
  <c r="U213" i="9"/>
  <c r="U214" i="9"/>
  <c r="U215" i="9"/>
  <c r="U216" i="9"/>
  <c r="U217" i="9"/>
  <c r="U218" i="9"/>
  <c r="U219" i="9"/>
  <c r="U220" i="9"/>
  <c r="U221" i="9"/>
  <c r="U222" i="9"/>
  <c r="U223" i="9"/>
  <c r="U224" i="9"/>
  <c r="U225" i="9"/>
  <c r="U226" i="9"/>
  <c r="U227" i="9"/>
  <c r="U228" i="9"/>
  <c r="U229" i="9"/>
  <c r="U230" i="9"/>
  <c r="U231" i="9"/>
  <c r="U232" i="9"/>
  <c r="U233" i="9"/>
  <c r="U234" i="9"/>
  <c r="U235" i="9"/>
  <c r="U236" i="9"/>
  <c r="U237" i="9"/>
  <c r="U238" i="9"/>
  <c r="U239" i="9"/>
  <c r="U240" i="9"/>
  <c r="U241" i="9"/>
  <c r="U242" i="9"/>
  <c r="U243" i="9"/>
  <c r="U244" i="9"/>
  <c r="U245" i="9"/>
  <c r="U246" i="9"/>
  <c r="U247" i="9"/>
  <c r="U248" i="9"/>
  <c r="U249" i="9"/>
  <c r="U250" i="9"/>
  <c r="U251" i="9"/>
  <c r="U252" i="9"/>
  <c r="U253" i="9"/>
  <c r="U254" i="9"/>
  <c r="U255" i="9"/>
  <c r="U256" i="9"/>
  <c r="U257" i="9"/>
  <c r="U258" i="9"/>
  <c r="U259" i="9"/>
  <c r="U260" i="9"/>
  <c r="U261" i="9"/>
  <c r="U262" i="9"/>
  <c r="U263" i="9"/>
  <c r="U264" i="9"/>
  <c r="U265" i="9"/>
  <c r="U266" i="9"/>
  <c r="U267" i="9"/>
  <c r="U268" i="9"/>
  <c r="U2" i="9"/>
  <c r="U3" i="7"/>
  <c r="U9" i="7"/>
  <c r="U11" i="7"/>
  <c r="U15" i="7"/>
  <c r="U37" i="7"/>
  <c r="U40" i="7"/>
  <c r="U45" i="7"/>
  <c r="U48" i="7"/>
  <c r="U71" i="7"/>
  <c r="U75" i="7"/>
  <c r="U78" i="7"/>
  <c r="U83" i="7"/>
  <c r="U105" i="7"/>
  <c r="U108" i="7"/>
  <c r="U110" i="7"/>
  <c r="U114" i="7"/>
  <c r="U130" i="7"/>
  <c r="U131" i="7"/>
  <c r="U132" i="7"/>
  <c r="U133" i="7"/>
  <c r="U134" i="7"/>
  <c r="U135" i="7"/>
  <c r="U136" i="7"/>
  <c r="U137" i="7"/>
  <c r="U5" i="7"/>
  <c r="U6" i="7"/>
  <c r="U10" i="7"/>
  <c r="U14" i="7"/>
  <c r="U18" i="7"/>
  <c r="U21" i="7"/>
  <c r="U26" i="7"/>
  <c r="U28" i="7"/>
  <c r="U39" i="7"/>
  <c r="U41" i="7"/>
  <c r="U46" i="7"/>
  <c r="U51" i="7"/>
  <c r="U52" i="7"/>
  <c r="U55" i="7"/>
  <c r="U60" i="7"/>
  <c r="U62" i="7"/>
  <c r="U72" i="7"/>
  <c r="U76" i="7"/>
  <c r="U79" i="7"/>
  <c r="U84" i="7"/>
  <c r="U87" i="7"/>
  <c r="U89" i="7"/>
  <c r="U93" i="7"/>
  <c r="U96" i="7"/>
  <c r="U135" i="8"/>
  <c r="U132" i="8"/>
  <c r="U125" i="8"/>
  <c r="U124" i="8"/>
  <c r="U95" i="8"/>
  <c r="U94" i="8"/>
  <c r="U92" i="8"/>
  <c r="U85" i="8"/>
  <c r="U84" i="8"/>
  <c r="T74" i="8" l="1"/>
  <c r="U74" i="8" s="1"/>
  <c r="U131" i="8"/>
  <c r="U123" i="8"/>
  <c r="U115" i="8"/>
  <c r="U107" i="8"/>
  <c r="U99" i="8"/>
  <c r="U91" i="8"/>
  <c r="U130" i="8"/>
  <c r="U122" i="8"/>
  <c r="U114" i="8"/>
  <c r="U106" i="8"/>
  <c r="U98" i="8"/>
  <c r="U90" i="8"/>
  <c r="U66" i="8"/>
  <c r="S4" i="7"/>
  <c r="T4" i="7" s="1"/>
  <c r="U4" i="7" s="1"/>
  <c r="S7" i="7"/>
  <c r="T7" i="7" s="1"/>
  <c r="U7" i="7" s="1"/>
  <c r="S12" i="7"/>
  <c r="T12" i="7" s="1"/>
  <c r="U12" i="7" s="1"/>
  <c r="S16" i="7"/>
  <c r="T16" i="7" s="1"/>
  <c r="U16" i="7" s="1"/>
  <c r="S19" i="7"/>
  <c r="T19" i="7" s="1"/>
  <c r="U19" i="7" s="1"/>
  <c r="S23" i="7"/>
  <c r="T23" i="7" s="1"/>
  <c r="U23" i="7" s="1"/>
  <c r="S24" i="7"/>
  <c r="T24" i="7" s="1"/>
  <c r="U24" i="7" s="1"/>
  <c r="S29" i="7"/>
  <c r="T29" i="7" s="1"/>
  <c r="U29" i="7" s="1"/>
  <c r="S38" i="7"/>
  <c r="T38" i="7" s="1"/>
  <c r="U38" i="7" s="1"/>
  <c r="S42" i="7"/>
  <c r="T42" i="7" s="1"/>
  <c r="U42" i="7" s="1"/>
  <c r="S47" i="7"/>
  <c r="T47" i="7" s="1"/>
  <c r="U47" i="7" s="1"/>
  <c r="S49" i="7"/>
  <c r="T49" i="7" s="1"/>
  <c r="U49" i="7" s="1"/>
  <c r="S53" i="7"/>
  <c r="T53" i="7" s="1"/>
  <c r="U53" i="7" s="1"/>
  <c r="S56" i="7"/>
  <c r="T56" i="7" s="1"/>
  <c r="U56" i="7" s="1"/>
  <c r="S59" i="7"/>
  <c r="T59" i="7" s="1"/>
  <c r="U59" i="7" s="1"/>
  <c r="S63" i="7"/>
  <c r="T63" i="7" s="1"/>
  <c r="U63" i="7" s="1"/>
  <c r="S73" i="7"/>
  <c r="T73" i="7" s="1"/>
  <c r="U73" i="7" s="1"/>
  <c r="S77" i="7"/>
  <c r="T77" i="7" s="1"/>
  <c r="U77" i="7" s="1"/>
  <c r="S80" i="7"/>
  <c r="T80" i="7" s="1"/>
  <c r="U80" i="7" s="1"/>
  <c r="S82" i="7"/>
  <c r="T82" i="7" s="1"/>
  <c r="U82" i="7" s="1"/>
  <c r="S88" i="7"/>
  <c r="T88" i="7" s="1"/>
  <c r="U88" i="7" s="1"/>
  <c r="S90" i="7"/>
  <c r="T90" i="7" s="1"/>
  <c r="U90" i="7" s="1"/>
  <c r="S94" i="7"/>
  <c r="T94" i="7" s="1"/>
  <c r="U94" i="7" s="1"/>
  <c r="S97" i="7"/>
  <c r="T97" i="7" s="1"/>
  <c r="U97" i="7" s="1"/>
  <c r="S106" i="7"/>
  <c r="T106" i="7" s="1"/>
  <c r="U106" i="7" s="1"/>
  <c r="S109" i="7"/>
  <c r="T109" i="7" s="1"/>
  <c r="U109" i="7" s="1"/>
  <c r="S111" i="7"/>
  <c r="T111" i="7" s="1"/>
  <c r="U111" i="7" s="1"/>
  <c r="S115" i="7"/>
  <c r="T115" i="7" s="1"/>
  <c r="U115" i="7" s="1"/>
  <c r="S116" i="7"/>
  <c r="T116" i="7" s="1"/>
  <c r="U116" i="7" s="1"/>
  <c r="S118" i="7"/>
  <c r="T118" i="7" s="1"/>
  <c r="U118" i="7" s="1"/>
  <c r="S120" i="7"/>
  <c r="T120" i="7" s="1"/>
  <c r="U120" i="7" s="1"/>
  <c r="S122" i="7"/>
  <c r="T122" i="7" s="1"/>
  <c r="U122" i="7" s="1"/>
  <c r="S8" i="7"/>
  <c r="T8" i="7" s="1"/>
  <c r="U8" i="7" s="1"/>
  <c r="S13" i="7"/>
  <c r="T13" i="7" s="1"/>
  <c r="U13" i="7" s="1"/>
  <c r="S17" i="7"/>
  <c r="T17" i="7" s="1"/>
  <c r="U17" i="7" s="1"/>
  <c r="S20" i="7"/>
  <c r="T20" i="7" s="1"/>
  <c r="U20" i="7" s="1"/>
  <c r="S22" i="7"/>
  <c r="T22" i="7" s="1"/>
  <c r="U22" i="7" s="1"/>
  <c r="S25" i="7"/>
  <c r="T25" i="7" s="1"/>
  <c r="U25" i="7" s="1"/>
  <c r="S27" i="7"/>
  <c r="T27" i="7" s="1"/>
  <c r="U27" i="7" s="1"/>
  <c r="S30" i="7"/>
  <c r="T30" i="7" s="1"/>
  <c r="U30" i="7" s="1"/>
  <c r="S31" i="7"/>
  <c r="T31" i="7" s="1"/>
  <c r="U31" i="7" s="1"/>
  <c r="S32" i="7"/>
  <c r="T32" i="7" s="1"/>
  <c r="U32" i="7" s="1"/>
  <c r="S33" i="7"/>
  <c r="T33" i="7" s="1"/>
  <c r="U33" i="7" s="1"/>
  <c r="S34" i="7"/>
  <c r="T34" i="7" s="1"/>
  <c r="U34" i="7" s="1"/>
  <c r="S35" i="7"/>
  <c r="T35" i="7" s="1"/>
  <c r="U35" i="7" s="1"/>
  <c r="S36" i="7"/>
  <c r="T36" i="7" s="1"/>
  <c r="U36" i="7" s="1"/>
  <c r="S43" i="7"/>
  <c r="T43" i="7" s="1"/>
  <c r="U43" i="7" s="1"/>
  <c r="S44" i="7"/>
  <c r="T44" i="7" s="1"/>
  <c r="U44" i="7" s="1"/>
  <c r="S50" i="7"/>
  <c r="T50" i="7" s="1"/>
  <c r="U50" i="7" s="1"/>
  <c r="S54" i="7"/>
  <c r="T54" i="7" s="1"/>
  <c r="U54" i="7" s="1"/>
  <c r="S57" i="7"/>
  <c r="T57" i="7" s="1"/>
  <c r="U57" i="7" s="1"/>
  <c r="S58" i="7"/>
  <c r="T58" i="7" s="1"/>
  <c r="U58" i="7" s="1"/>
  <c r="S61" i="7"/>
  <c r="T61" i="7" s="1"/>
  <c r="U61" i="7" s="1"/>
  <c r="S64" i="7"/>
  <c r="T64" i="7" s="1"/>
  <c r="U64" i="7" s="1"/>
  <c r="S65" i="7"/>
  <c r="T65" i="7" s="1"/>
  <c r="U65" i="7" s="1"/>
  <c r="S66" i="7"/>
  <c r="T66" i="7" s="1"/>
  <c r="U66" i="7" s="1"/>
  <c r="S67" i="7"/>
  <c r="T67" i="7" s="1"/>
  <c r="U67" i="7" s="1"/>
  <c r="S68" i="7"/>
  <c r="T68" i="7" s="1"/>
  <c r="U68" i="7" s="1"/>
  <c r="S69" i="7"/>
  <c r="T69" i="7" s="1"/>
  <c r="U69" i="7" s="1"/>
  <c r="S70" i="7"/>
  <c r="T70" i="7" s="1"/>
  <c r="U70" i="7" s="1"/>
  <c r="S74" i="7"/>
  <c r="T74" i="7" s="1"/>
  <c r="U74" i="7" s="1"/>
  <c r="S81" i="7"/>
  <c r="T81" i="7" s="1"/>
  <c r="U81" i="7" s="1"/>
  <c r="S85" i="7"/>
  <c r="T85" i="7" s="1"/>
  <c r="U85" i="7" s="1"/>
  <c r="S86" i="7"/>
  <c r="T86" i="7" s="1"/>
  <c r="U86" i="7" s="1"/>
  <c r="S91" i="7"/>
  <c r="T91" i="7" s="1"/>
  <c r="U91" i="7" s="1"/>
  <c r="S92" i="7"/>
  <c r="T92" i="7" s="1"/>
  <c r="U92" i="7" s="1"/>
  <c r="S95" i="7"/>
  <c r="T95" i="7" s="1"/>
  <c r="U95" i="7" s="1"/>
  <c r="S98" i="7"/>
  <c r="T98" i="7" s="1"/>
  <c r="U98" i="7" s="1"/>
  <c r="S99" i="7"/>
  <c r="T99" i="7" s="1"/>
  <c r="U99" i="7" s="1"/>
  <c r="S100" i="7"/>
  <c r="T100" i="7" s="1"/>
  <c r="U100" i="7" s="1"/>
  <c r="S101" i="7"/>
  <c r="T101" i="7" s="1"/>
  <c r="U101" i="7" s="1"/>
  <c r="S102" i="7"/>
  <c r="T102" i="7" s="1"/>
  <c r="U102" i="7" s="1"/>
  <c r="S103" i="7"/>
  <c r="T103" i="7" s="1"/>
  <c r="U103" i="7" s="1"/>
  <c r="S104" i="7"/>
  <c r="T104" i="7" s="1"/>
  <c r="U104" i="7" s="1"/>
  <c r="S107" i="7"/>
  <c r="T107" i="7" s="1"/>
  <c r="U107" i="7" s="1"/>
  <c r="S112" i="7"/>
  <c r="T112" i="7" s="1"/>
  <c r="U112" i="7" s="1"/>
  <c r="S113" i="7"/>
  <c r="T113" i="7" s="1"/>
  <c r="U113" i="7" s="1"/>
  <c r="S117" i="7"/>
  <c r="T117" i="7" s="1"/>
  <c r="U117" i="7" s="1"/>
  <c r="S119" i="7"/>
  <c r="T119" i="7" s="1"/>
  <c r="U119" i="7" s="1"/>
  <c r="S121" i="7"/>
  <c r="T121" i="7" s="1"/>
  <c r="U121" i="7" s="1"/>
  <c r="S123" i="7"/>
  <c r="T123" i="7" s="1"/>
  <c r="U123" i="7" s="1"/>
  <c r="S124" i="7"/>
  <c r="T124" i="7" s="1"/>
  <c r="U124" i="7" s="1"/>
  <c r="S125" i="7"/>
  <c r="T125" i="7" s="1"/>
  <c r="U125" i="7" s="1"/>
  <c r="S126" i="7"/>
  <c r="T126" i="7" s="1"/>
  <c r="U126" i="7" s="1"/>
  <c r="S127" i="7"/>
  <c r="T127" i="7" s="1"/>
  <c r="U127" i="7" s="1"/>
  <c r="S128" i="7"/>
  <c r="T128" i="7" s="1"/>
  <c r="U128" i="7" s="1"/>
  <c r="S129" i="7"/>
  <c r="T129" i="7" s="1"/>
  <c r="U129" i="7" s="1"/>
</calcChain>
</file>

<file path=xl/sharedStrings.xml><?xml version="1.0" encoding="utf-8"?>
<sst xmlns="http://schemas.openxmlformats.org/spreadsheetml/2006/main" count="7324" uniqueCount="473">
  <si>
    <t>year</t>
  </si>
  <si>
    <t>trial_ID</t>
  </si>
  <si>
    <t>trial</t>
  </si>
  <si>
    <t>env</t>
  </si>
  <si>
    <t>field</t>
  </si>
  <si>
    <t>plot_ID</t>
  </si>
  <si>
    <t>plot</t>
  </si>
  <si>
    <t>col</t>
  </si>
  <si>
    <t>row</t>
  </si>
  <si>
    <t>blk</t>
  </si>
  <si>
    <t>trt</t>
  </si>
  <si>
    <t>gen</t>
  </si>
  <si>
    <t>fung_time</t>
  </si>
  <si>
    <t>weight</t>
  </si>
  <si>
    <t>moist</t>
  </si>
  <si>
    <t>tw</t>
  </si>
  <si>
    <t>weight_12</t>
  </si>
  <si>
    <t>kg_ha</t>
  </si>
  <si>
    <t>yield</t>
  </si>
  <si>
    <t>total</t>
  </si>
  <si>
    <t>head</t>
  </si>
  <si>
    <t>NBLS</t>
  </si>
  <si>
    <t>RRS1</t>
  </si>
  <si>
    <t>PVL03</t>
  </si>
  <si>
    <t>RRS2</t>
  </si>
  <si>
    <t>RRS3</t>
  </si>
  <si>
    <t>LA</t>
  </si>
  <si>
    <t>24-CER_TIME2</t>
  </si>
  <si>
    <t>CER_TIME2</t>
  </si>
  <si>
    <t>P2C2</t>
  </si>
  <si>
    <t>24-P2C2_101</t>
  </si>
  <si>
    <t>Tilt</t>
  </si>
  <si>
    <t>24-P2C2_102</t>
  </si>
  <si>
    <t>Tilt+A.Top</t>
  </si>
  <si>
    <t>24-P2C2_103</t>
  </si>
  <si>
    <t>24-P2C2_104</t>
  </si>
  <si>
    <t>24-P2C2_201</t>
  </si>
  <si>
    <t>24-P2C2_202</t>
  </si>
  <si>
    <t>24-P2C2_203</t>
  </si>
  <si>
    <t>24-P2C2_204</t>
  </si>
  <si>
    <t>24-P2C2_301</t>
  </si>
  <si>
    <t>24-P2C2_302</t>
  </si>
  <si>
    <t>24-P2C2_303</t>
  </si>
  <si>
    <t>24-P2C2_304</t>
  </si>
  <si>
    <t>24-P2C2_401</t>
  </si>
  <si>
    <t>24-P2C2_402</t>
  </si>
  <si>
    <t>24-P2C2_403</t>
  </si>
  <si>
    <t>24-P2C2_404</t>
  </si>
  <si>
    <t>24-P2C2_501</t>
  </si>
  <si>
    <t>24-P2C2_502</t>
  </si>
  <si>
    <t>24-P2C2_503</t>
  </si>
  <si>
    <t>24-P2C2_504</t>
  </si>
  <si>
    <t>24-P2C2_601</t>
  </si>
  <si>
    <t>24-P2C2_602</t>
  </si>
  <si>
    <t>24-P2C2_603</t>
  </si>
  <si>
    <t>24-P2C2_604</t>
  </si>
  <si>
    <t>fung</t>
  </si>
  <si>
    <t>PD7</t>
  </si>
  <si>
    <t>PD14</t>
  </si>
  <si>
    <t>PD35</t>
  </si>
  <si>
    <t>PD21</t>
  </si>
  <si>
    <t>PD42</t>
  </si>
  <si>
    <t>PD28</t>
  </si>
  <si>
    <t>24-CER_TIME3</t>
  </si>
  <si>
    <t>CER_TIME3</t>
  </si>
  <si>
    <t>P3C2</t>
  </si>
  <si>
    <t>24-P3C2_101</t>
  </si>
  <si>
    <t>24-P3C2_102</t>
  </si>
  <si>
    <t>24-P3C2_103</t>
  </si>
  <si>
    <t>24-P3C2_104</t>
  </si>
  <si>
    <t>24-P3C2_105</t>
  </si>
  <si>
    <t>24-P3C2_106</t>
  </si>
  <si>
    <t>24-P3C2_107</t>
  </si>
  <si>
    <t>24-P3C2_108</t>
  </si>
  <si>
    <t>24-P3C2_201</t>
  </si>
  <si>
    <t>24-P3C2_202</t>
  </si>
  <si>
    <t>24-P3C2_203</t>
  </si>
  <si>
    <t>24-P3C2_204</t>
  </si>
  <si>
    <t>24-P3C2_205</t>
  </si>
  <si>
    <t>24-P3C2_206</t>
  </si>
  <si>
    <t>24-P3C2_207</t>
  </si>
  <si>
    <t>24-P3C2_208</t>
  </si>
  <si>
    <t>24-P3C2_301</t>
  </si>
  <si>
    <t>24-P3C2_302</t>
  </si>
  <si>
    <t>24-P3C2_303</t>
  </si>
  <si>
    <t>24-P3C2_304</t>
  </si>
  <si>
    <t>24-P3C2_305</t>
  </si>
  <si>
    <t>24-P3C2_306</t>
  </si>
  <si>
    <t>24-P3C2_307</t>
  </si>
  <si>
    <t>24-P3C2_308</t>
  </si>
  <si>
    <t>24-CER_TIME4</t>
  </si>
  <si>
    <t>CER_TIME4</t>
  </si>
  <si>
    <t>P4C2</t>
  </si>
  <si>
    <t>24-P4C2_101</t>
  </si>
  <si>
    <t>24-P4C2_102</t>
  </si>
  <si>
    <t>24-P4C2_103</t>
  </si>
  <si>
    <t>24-P4C2_104</t>
  </si>
  <si>
    <t>24-P4C2_105</t>
  </si>
  <si>
    <t>24-P4C2_106</t>
  </si>
  <si>
    <t>24-P4C2_107</t>
  </si>
  <si>
    <t>24-P4C2_108</t>
  </si>
  <si>
    <t>24-P4C2_201</t>
  </si>
  <si>
    <t>24-P4C2_202</t>
  </si>
  <si>
    <t>24-P4C2_203</t>
  </si>
  <si>
    <t>24-P4C2_204</t>
  </si>
  <si>
    <t>24-P4C2_205</t>
  </si>
  <si>
    <t>24-P4C2_206</t>
  </si>
  <si>
    <t>24-P4C2_207</t>
  </si>
  <si>
    <t>24-P4C2_208</t>
  </si>
  <si>
    <t>24-P4C2_301</t>
  </si>
  <si>
    <t>24-P4C2_302</t>
  </si>
  <si>
    <t>24-P4C2_303</t>
  </si>
  <si>
    <t>24-P4C2_304</t>
  </si>
  <si>
    <t>24-P4C2_305</t>
  </si>
  <si>
    <t>24-P4C2_306</t>
  </si>
  <si>
    <t>24-P4C2_307</t>
  </si>
  <si>
    <t>24-P4C2_308</t>
  </si>
  <si>
    <t>24-P4C2_401</t>
  </si>
  <si>
    <t>24-P4C2_402</t>
  </si>
  <si>
    <t>24-P4C2_403</t>
  </si>
  <si>
    <t>24-P4C2_404</t>
  </si>
  <si>
    <t>24-P4C2_405</t>
  </si>
  <si>
    <t>24-P4C2_406</t>
  </si>
  <si>
    <t>24-P4C2_407</t>
  </si>
  <si>
    <t>24-P4C2_408</t>
  </si>
  <si>
    <t>24-CER_TIME5</t>
  </si>
  <si>
    <t>CER_TIME5</t>
  </si>
  <si>
    <t>P5C1</t>
  </si>
  <si>
    <t>WIN</t>
  </si>
  <si>
    <t>24-P5C2_101</t>
  </si>
  <si>
    <t>24-P5C2_102</t>
  </si>
  <si>
    <t>24-P5C2_103</t>
  </si>
  <si>
    <t>24-P5C2_104</t>
  </si>
  <si>
    <t>24-P5C2_105</t>
  </si>
  <si>
    <t>24-P5C2_106</t>
  </si>
  <si>
    <t>24-P5C2_107</t>
  </si>
  <si>
    <t>24-P5C2_108</t>
  </si>
  <si>
    <t>AmistarTop</t>
  </si>
  <si>
    <t>24-P5C2_109</t>
  </si>
  <si>
    <t>24-P5C2_110</t>
  </si>
  <si>
    <t>24-P5C2_111</t>
  </si>
  <si>
    <t>24-P5C2_112</t>
  </si>
  <si>
    <t>24-P5C2_113</t>
  </si>
  <si>
    <t>24-P5C2_114</t>
  </si>
  <si>
    <t>24-P5C2_201</t>
  </si>
  <si>
    <t>24-P5C2_202</t>
  </si>
  <si>
    <t>24-P5C2_203</t>
  </si>
  <si>
    <t>24-P5C2_204</t>
  </si>
  <si>
    <t>24-P5C2_205</t>
  </si>
  <si>
    <t>24-P5C2_206</t>
  </si>
  <si>
    <t>24-P5C2_207</t>
  </si>
  <si>
    <t>24-P5C2_208</t>
  </si>
  <si>
    <t>24-P5C2_209</t>
  </si>
  <si>
    <t>24-P5C2_210</t>
  </si>
  <si>
    <t>24-P5C2_211</t>
  </si>
  <si>
    <t>24-P5C2_212</t>
  </si>
  <si>
    <t>24-P5C2_213</t>
  </si>
  <si>
    <t>24-P5C2_214</t>
  </si>
  <si>
    <t>24-P5C2_301</t>
  </si>
  <si>
    <t>24-P5C2_302</t>
  </si>
  <si>
    <t>24-P5C2_303</t>
  </si>
  <si>
    <t>24-P5C2_304</t>
  </si>
  <si>
    <t>24-P5C2_305</t>
  </si>
  <si>
    <t>24-P5C2_306</t>
  </si>
  <si>
    <t>24-P5C2_307</t>
  </si>
  <si>
    <t>24-P5C2_308</t>
  </si>
  <si>
    <t>24-P5C2_309</t>
  </si>
  <si>
    <t>24-P5C2_310</t>
  </si>
  <si>
    <t>24-P5C2_311</t>
  </si>
  <si>
    <t>24-P5C2_312</t>
  </si>
  <si>
    <t>24-P5C2_313</t>
  </si>
  <si>
    <t>24-P5C2_314</t>
  </si>
  <si>
    <t>24-P5C2_401</t>
  </si>
  <si>
    <t>24-P5C2_402</t>
  </si>
  <si>
    <t>24-P5C2_403</t>
  </si>
  <si>
    <t>24-P5C2_404</t>
  </si>
  <si>
    <t>24-P5C2_405</t>
  </si>
  <si>
    <t>24-P5C2_406</t>
  </si>
  <si>
    <t>24-P5C2_407</t>
  </si>
  <si>
    <t>24-P5C2_408</t>
  </si>
  <si>
    <t>24-P5C2_409</t>
  </si>
  <si>
    <t>24-P5C2_410</t>
  </si>
  <si>
    <t>24-P5C2_411</t>
  </si>
  <si>
    <t>24-P5C2_412</t>
  </si>
  <si>
    <t>24-P5C2_413</t>
  </si>
  <si>
    <t>24-P5C2_414</t>
  </si>
  <si>
    <t>25-CER_TIME1</t>
  </si>
  <si>
    <t>CER_TIME1</t>
  </si>
  <si>
    <t>P1C2</t>
  </si>
  <si>
    <t>25-P1C2_101</t>
  </si>
  <si>
    <t>25-P1C2_102</t>
  </si>
  <si>
    <t>25-P1C2_103</t>
  </si>
  <si>
    <t>25-P1C2_104</t>
  </si>
  <si>
    <t>25-P1C2_105</t>
  </si>
  <si>
    <t>25-P1C2_106</t>
  </si>
  <si>
    <t>25-P1C2_107</t>
  </si>
  <si>
    <t>25-P1C2_201</t>
  </si>
  <si>
    <t>25-P1C2_202</t>
  </si>
  <si>
    <t>25-P1C2_203</t>
  </si>
  <si>
    <t>25-P1C2_204</t>
  </si>
  <si>
    <t>25-P1C2_205</t>
  </si>
  <si>
    <t>25-P1C2_206</t>
  </si>
  <si>
    <t>25-P1C2_207</t>
  </si>
  <si>
    <t>25-P1C2_301</t>
  </si>
  <si>
    <t>25-P1C2_302</t>
  </si>
  <si>
    <t>25-P1C2_303</t>
  </si>
  <si>
    <t>25-P1C2_304</t>
  </si>
  <si>
    <t>25-P1C2_305</t>
  </si>
  <si>
    <t>25-P1C2_306</t>
  </si>
  <si>
    <t>25-P1C2_307</t>
  </si>
  <si>
    <t>25-P1C2_401</t>
  </si>
  <si>
    <t>25-P1C2_402</t>
  </si>
  <si>
    <t>25-P1C2_403</t>
  </si>
  <si>
    <t>25-P1C2_404</t>
  </si>
  <si>
    <t>25-P1C2_405</t>
  </si>
  <si>
    <t>25-P1C2_406</t>
  </si>
  <si>
    <t>25-P1C2_407</t>
  </si>
  <si>
    <t>25-P1C2_501</t>
  </si>
  <si>
    <t>25-P1C2_502</t>
  </si>
  <si>
    <t>25-P1C2_503</t>
  </si>
  <si>
    <t>25-P1C2_504</t>
  </si>
  <si>
    <t>25-P1C2_505</t>
  </si>
  <si>
    <t>25-P1C2_506</t>
  </si>
  <si>
    <t>25-P1C2_507</t>
  </si>
  <si>
    <t>25-P1C2_601</t>
  </si>
  <si>
    <t>25-P1C2_602</t>
  </si>
  <si>
    <t>25-P1C2_603</t>
  </si>
  <si>
    <t>25-P1C2_604</t>
  </si>
  <si>
    <t>25-P1C2_605</t>
  </si>
  <si>
    <t>25-P1C2_606</t>
  </si>
  <si>
    <t>25-P1C2_607</t>
  </si>
  <si>
    <t>25-P1C2_701</t>
  </si>
  <si>
    <t>25-P1C2_702</t>
  </si>
  <si>
    <t>25-P1C2_703</t>
  </si>
  <si>
    <t>25-P1C2_704</t>
  </si>
  <si>
    <t>25-P1C2_705</t>
  </si>
  <si>
    <t>25-P1C2_706</t>
  </si>
  <si>
    <t>25-P1C2_707</t>
  </si>
  <si>
    <t>25-P1C2_801</t>
  </si>
  <si>
    <t>25-P1C2_802</t>
  </si>
  <si>
    <t>25-P1C2_803</t>
  </si>
  <si>
    <t>25-P1C2_804</t>
  </si>
  <si>
    <t>25-P1C2_805</t>
  </si>
  <si>
    <t>25-P1C2_806</t>
  </si>
  <si>
    <t>25-P1C2_807</t>
  </si>
  <si>
    <t>25-P1C2_901</t>
  </si>
  <si>
    <t>25-P1C2_902</t>
  </si>
  <si>
    <t>25-P1C2_903</t>
  </si>
  <si>
    <t>25-P1C2_904</t>
  </si>
  <si>
    <t>25-P1C2_905</t>
  </si>
  <si>
    <t>25-P1C2_906</t>
  </si>
  <si>
    <t>25-P1C2_907</t>
  </si>
  <si>
    <t>CL111</t>
  </si>
  <si>
    <t>Prot</t>
  </si>
  <si>
    <t>Cevya</t>
  </si>
  <si>
    <t>UTC</t>
  </si>
  <si>
    <t>rate</t>
  </si>
  <si>
    <t>4.5 fl oz/A</t>
  </si>
  <si>
    <t>6.3  fl oz/A</t>
  </si>
  <si>
    <t>10 fl oz/A</t>
  </si>
  <si>
    <t>25-CER_TIME2</t>
  </si>
  <si>
    <t>25-P2C2_101</t>
  </si>
  <si>
    <t>25-P2C2_102</t>
  </si>
  <si>
    <t>25-P2C2_103</t>
  </si>
  <si>
    <t>25-P2C2_104</t>
  </si>
  <si>
    <t>25-P2C2_105</t>
  </si>
  <si>
    <t>25-P2C2_106</t>
  </si>
  <si>
    <t>25-P2C2_201</t>
  </si>
  <si>
    <t>25-P2C2_202</t>
  </si>
  <si>
    <t>25-P2C2_203</t>
  </si>
  <si>
    <t>25-P2C2_204</t>
  </si>
  <si>
    <t>25-P2C2_205</t>
  </si>
  <si>
    <t>25-P2C2_206</t>
  </si>
  <si>
    <t>25-P2C2_301</t>
  </si>
  <si>
    <t>25-P2C2_302</t>
  </si>
  <si>
    <t>25-P2C2_303</t>
  </si>
  <si>
    <t>25-P2C2_304</t>
  </si>
  <si>
    <t>25-P2C2_305</t>
  </si>
  <si>
    <t>25-P2C2_306</t>
  </si>
  <si>
    <t>25-P2C2_401</t>
  </si>
  <si>
    <t>25-P2C2_402</t>
  </si>
  <si>
    <t>25-P2C2_403</t>
  </si>
  <si>
    <t>25-P2C2_404</t>
  </si>
  <si>
    <t>25-P2C2_405</t>
  </si>
  <si>
    <t>25-P2C2_406</t>
  </si>
  <si>
    <t>25-P2C2_501</t>
  </si>
  <si>
    <t>25-P2C2_502</t>
  </si>
  <si>
    <t>25-P2C2_503</t>
  </si>
  <si>
    <t>25-P2C2_504</t>
  </si>
  <si>
    <t>25-P2C2_505</t>
  </si>
  <si>
    <t>25-P2C2_506</t>
  </si>
  <si>
    <t>25-P2C2_601</t>
  </si>
  <si>
    <t>25-P2C2_602</t>
  </si>
  <si>
    <t>25-P2C2_603</t>
  </si>
  <si>
    <t>25-P2C2_604</t>
  </si>
  <si>
    <t>25-P2C2_605</t>
  </si>
  <si>
    <t>25-P2C2_606</t>
  </si>
  <si>
    <t>25-P2C2_701</t>
  </si>
  <si>
    <t>25-P2C2_702</t>
  </si>
  <si>
    <t>25-P2C2_703</t>
  </si>
  <si>
    <t>25-P2C2_704</t>
  </si>
  <si>
    <t>25-P2C2_705</t>
  </si>
  <si>
    <t>25-P2C2_706</t>
  </si>
  <si>
    <t>25-P2C2_801</t>
  </si>
  <si>
    <t>25-P2C2_802</t>
  </si>
  <si>
    <t>25-P2C2_803</t>
  </si>
  <si>
    <t>25-P2C2_804</t>
  </si>
  <si>
    <t>25-P2C2_805</t>
  </si>
  <si>
    <t>25-P2C2_806</t>
  </si>
  <si>
    <t>25-P2C2_901</t>
  </si>
  <si>
    <t>25-P2C2_902</t>
  </si>
  <si>
    <t>25-P2C2_903</t>
  </si>
  <si>
    <t>25-P2C2_904</t>
  </si>
  <si>
    <t>25-P2C2_905</t>
  </si>
  <si>
    <t>25-P2C2_906</t>
  </si>
  <si>
    <t>25-P2C2_1001</t>
  </si>
  <si>
    <t>25-P2C2_1002</t>
  </si>
  <si>
    <t>25-P2C2_1003</t>
  </si>
  <si>
    <t>25-P2C2_1004</t>
  </si>
  <si>
    <t>25-P2C2_1005</t>
  </si>
  <si>
    <t>25-P2C2_1006</t>
  </si>
  <si>
    <t>25-P2C2_1101</t>
  </si>
  <si>
    <t>25-P2C2_1102</t>
  </si>
  <si>
    <t>25-P2C2_1103</t>
  </si>
  <si>
    <t>25-P2C2_1104</t>
  </si>
  <si>
    <t>25-P2C2_1105</t>
  </si>
  <si>
    <t>25-P2C2_1106</t>
  </si>
  <si>
    <t>25-P2C2_1201</t>
  </si>
  <si>
    <t>25-P2C2_1202</t>
  </si>
  <si>
    <t>25-P2C2_1203</t>
  </si>
  <si>
    <t>25-P2C2_1204</t>
  </si>
  <si>
    <t>25-P2C2_1205</t>
  </si>
  <si>
    <t>25-P2C2_1206</t>
  </si>
  <si>
    <t>25-P2C2_1301</t>
  </si>
  <si>
    <t>25-P2C2_1302</t>
  </si>
  <si>
    <t>25-P2C2_1303</t>
  </si>
  <si>
    <t>25-P2C2_1304</t>
  </si>
  <si>
    <t>25-P2C2_1305</t>
  </si>
  <si>
    <t>25-P2C2_1306</t>
  </si>
  <si>
    <t>25-P2C2_1401</t>
  </si>
  <si>
    <t>25-P2C2_1402</t>
  </si>
  <si>
    <t>25-P2C2_1403</t>
  </si>
  <si>
    <t>25-P2C2_1404</t>
  </si>
  <si>
    <t>25-P2C2_1405</t>
  </si>
  <si>
    <t>25-P2C2_1406</t>
  </si>
  <si>
    <t>25-CER_TIME3</t>
  </si>
  <si>
    <t>25-P3C2_101</t>
  </si>
  <si>
    <t>25-P3C2_501</t>
  </si>
  <si>
    <t>25-P3C2_502</t>
  </si>
  <si>
    <t>25-P3C2_503</t>
  </si>
  <si>
    <t>25-P3C2_504</t>
  </si>
  <si>
    <t>25-P3C2_505</t>
  </si>
  <si>
    <t>25-P3C2_506</t>
  </si>
  <si>
    <t>25-P3C2_507</t>
  </si>
  <si>
    <t>25-P3C2_508</t>
  </si>
  <si>
    <t>25-P3C2_201</t>
  </si>
  <si>
    <t>25-P3C2_601</t>
  </si>
  <si>
    <t>25-P3C2_602</t>
  </si>
  <si>
    <t>25-P3C2_603</t>
  </si>
  <si>
    <t>25-P3C2_604</t>
  </si>
  <si>
    <t>25-P3C2_605</t>
  </si>
  <si>
    <t>25-P3C2_606</t>
  </si>
  <si>
    <t>25-P3C2_607</t>
  </si>
  <si>
    <t>25-P3C2_608</t>
  </si>
  <si>
    <t>25-P3C2_301</t>
  </si>
  <si>
    <t>25-P3C2_701</t>
  </si>
  <si>
    <t>25-P3C2_702</t>
  </si>
  <si>
    <t>25-P3C2_703</t>
  </si>
  <si>
    <t>25-P3C2_704</t>
  </si>
  <si>
    <t>25-P3C2_705</t>
  </si>
  <si>
    <t>25-P3C2_706</t>
  </si>
  <si>
    <t>25-P3C2_707</t>
  </si>
  <si>
    <t>25-P3C2_708</t>
  </si>
  <si>
    <t>25-P3C2_401</t>
  </si>
  <si>
    <t>25-P3C2_102</t>
  </si>
  <si>
    <t>25-P3C2_103</t>
  </si>
  <si>
    <t>25-P3C2_104</t>
  </si>
  <si>
    <t>25-P3C2_105</t>
  </si>
  <si>
    <t>25-P3C2_106</t>
  </si>
  <si>
    <t>25-P3C2_107</t>
  </si>
  <si>
    <t>25-P3C2_108</t>
  </si>
  <si>
    <t>25-P3C2_109</t>
  </si>
  <si>
    <t>25-P3C2_202</t>
  </si>
  <si>
    <t>25-P3C2_203</t>
  </si>
  <si>
    <t>25-P3C2_204</t>
  </si>
  <si>
    <t>25-P3C2_205</t>
  </si>
  <si>
    <t>25-P3C2_206</t>
  </si>
  <si>
    <t>25-P3C2_207</t>
  </si>
  <si>
    <t>25-P3C2_208</t>
  </si>
  <si>
    <t>25-P3C2_209</t>
  </si>
  <si>
    <t>25-P3C2_302</t>
  </si>
  <si>
    <t>25-P3C2_303</t>
  </si>
  <si>
    <t>25-P3C2_304</t>
  </si>
  <si>
    <t>25-P3C2_305</t>
  </si>
  <si>
    <t>25-P3C2_306</t>
  </si>
  <si>
    <t>25-P3C2_307</t>
  </si>
  <si>
    <t>25-P3C2_308</t>
  </si>
  <si>
    <t>25-P3C2_309</t>
  </si>
  <si>
    <t>25-P3C2_402</t>
  </si>
  <si>
    <t>25-P3C2_403</t>
  </si>
  <si>
    <t>25-P3C2_404</t>
  </si>
  <si>
    <t>25-P3C2_405</t>
  </si>
  <si>
    <t>25-P3C2_406</t>
  </si>
  <si>
    <t>25-P3C2_407</t>
  </si>
  <si>
    <t>25-P3C2_408</t>
  </si>
  <si>
    <t>25-P3C2_409</t>
  </si>
  <si>
    <t>25-CER_TIME4</t>
  </si>
  <si>
    <t>25-P4C2_101</t>
  </si>
  <si>
    <t>25-P4C2_102</t>
  </si>
  <si>
    <t>25-P4C2_103</t>
  </si>
  <si>
    <t>25-P4C2_104</t>
  </si>
  <si>
    <t>25-P4C2_105</t>
  </si>
  <si>
    <t>25-P4C2_106</t>
  </si>
  <si>
    <t>25-P4C2_201</t>
  </si>
  <si>
    <t>25-P4C2_202</t>
  </si>
  <si>
    <t>25-P4C2_203</t>
  </si>
  <si>
    <t>25-P4C2_204</t>
  </si>
  <si>
    <t>25-P4C2_205</t>
  </si>
  <si>
    <t>25-P4C2_206</t>
  </si>
  <si>
    <t>25-P4C2_301</t>
  </si>
  <si>
    <t>25-P4C2_302</t>
  </si>
  <si>
    <t>25-P4C2_303</t>
  </si>
  <si>
    <t>25-P4C2_304</t>
  </si>
  <si>
    <t>25-P4C2_305</t>
  </si>
  <si>
    <t>25-P4C2_306</t>
  </si>
  <si>
    <t>25-P4C2_401</t>
  </si>
  <si>
    <t>25-P4C2_402</t>
  </si>
  <si>
    <t>25-P4C2_403</t>
  </si>
  <si>
    <t>25-P4C2_404</t>
  </si>
  <si>
    <t>25-P4C2_405</t>
  </si>
  <si>
    <t>25-P4C2_406</t>
  </si>
  <si>
    <t>25-P4C2_501</t>
  </si>
  <si>
    <t>25-P4C2_502</t>
  </si>
  <si>
    <t>25-P4C2_503</t>
  </si>
  <si>
    <t>25-P4C2_504</t>
  </si>
  <si>
    <t>25-P4C2_505</t>
  </si>
  <si>
    <t>25-P4C2_506</t>
  </si>
  <si>
    <t>25-P4C2_601</t>
  </si>
  <si>
    <t>25-P4C2_602</t>
  </si>
  <si>
    <t>25-P4C2_603</t>
  </si>
  <si>
    <t>25-P4C2_604</t>
  </si>
  <si>
    <t>25-P4C2_605</t>
  </si>
  <si>
    <t>25-P4C2_606</t>
  </si>
  <si>
    <t>25-P4C2_701</t>
  </si>
  <si>
    <t>25-P4C2_702</t>
  </si>
  <si>
    <t>25-P4C2_703</t>
  </si>
  <si>
    <t>25-P4C2_704</t>
  </si>
  <si>
    <t>25-P4C2_705</t>
  </si>
  <si>
    <t>25-P4C2_706</t>
  </si>
  <si>
    <t>25-P4C2_801</t>
  </si>
  <si>
    <t>25-P4C2_802</t>
  </si>
  <si>
    <t>25-P4C2_803</t>
  </si>
  <si>
    <t>25-P4C2_804</t>
  </si>
  <si>
    <t>25-P4C2_805</t>
  </si>
  <si>
    <t>25-P4C2_806</t>
  </si>
  <si>
    <t>25-P4C2_901</t>
  </si>
  <si>
    <t>25-P4C2_902</t>
  </si>
  <si>
    <t>25-P4C2_903</t>
  </si>
  <si>
    <t>25-P4C2_904</t>
  </si>
  <si>
    <t>25-P4C2_905</t>
  </si>
  <si>
    <t>25-P4C2_906</t>
  </si>
  <si>
    <t>25-P4C2_1001</t>
  </si>
  <si>
    <t>25-P4C2_1002</t>
  </si>
  <si>
    <t>25-P4C2_1003</t>
  </si>
  <si>
    <t>25-P4C2_1004</t>
  </si>
  <si>
    <t>25-P4C2_1005</t>
  </si>
  <si>
    <t>25-P4C2_1006</t>
  </si>
  <si>
    <t>10 + 15  fl oz/A</t>
  </si>
  <si>
    <t>15 fl oz/A</t>
  </si>
  <si>
    <t>Check</t>
  </si>
  <si>
    <t>PD07</t>
  </si>
  <si>
    <t>_CHECK</t>
  </si>
  <si>
    <t>Prozio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</si>
</sst>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2" fontId="6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9C3F-791D-4DD0-83AD-DB8372CB8CEE}">
  <dimension ref="A1:X483"/>
  <sheetViews>
    <sheetView tabSelected="1" zoomScale="98" zoomScaleNormal="98" workbookViewId="0">
      <pane ySplit="1" topLeftCell="A2" activePane="bottomLeft" state="frozen"/>
      <selection pane="bottomLeft" activeCell="M190" sqref="M190"/>
    </sheetView>
  </sheetViews>
  <sheetFormatPr defaultColWidth="8.85546875" defaultRowHeight="15" x14ac:dyDescent="0.25"/>
  <cols>
    <col min="1" max="1" width="5" style="7" bestFit="1" customWidth="1"/>
    <col min="2" max="2" width="13.140625" style="7" bestFit="1" customWidth="1"/>
    <col min="3" max="3" width="10.28515625" style="7" bestFit="1" customWidth="1"/>
    <col min="4" max="5" width="5.28515625" style="7" bestFit="1" customWidth="1"/>
    <col min="6" max="6" width="12.85546875" style="7" bestFit="1" customWidth="1"/>
    <col min="7" max="7" width="5" style="7" bestFit="1" customWidth="1"/>
    <col min="8" max="8" width="3.7109375" style="7" bestFit="1" customWidth="1"/>
    <col min="9" max="9" width="4.28515625" style="7" bestFit="1" customWidth="1"/>
    <col min="10" max="10" width="3.7109375" style="7" bestFit="1" customWidth="1"/>
    <col min="11" max="11" width="3.140625" style="7" bestFit="1" customWidth="1"/>
    <col min="12" max="12" width="6.140625" bestFit="1" customWidth="1"/>
    <col min="13" max="13" width="11.140625" bestFit="1" customWidth="1"/>
    <col min="14" max="14" width="10" style="7" bestFit="1" customWidth="1"/>
    <col min="15" max="15" width="13.28515625" bestFit="1" customWidth="1"/>
    <col min="16" max="16" width="7" style="7" bestFit="1" customWidth="1"/>
    <col min="17" max="17" width="6.140625" bestFit="1" customWidth="1"/>
    <col min="18" max="18" width="5.42578125" bestFit="1" customWidth="1"/>
    <col min="19" max="19" width="14.42578125" bestFit="1" customWidth="1"/>
    <col min="20" max="20" width="10.42578125" style="7" bestFit="1" customWidth="1"/>
    <col min="21" max="21" width="10" style="7" bestFit="1" customWidth="1"/>
    <col min="22" max="22" width="6" style="7" bestFit="1" customWidth="1"/>
    <col min="23" max="23" width="6" bestFit="1" customWidth="1"/>
    <col min="24" max="24" width="5.7109375" bestFit="1" customWidth="1"/>
  </cols>
  <sheetData>
    <row r="1" spans="1:24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56</v>
      </c>
      <c r="N1" s="12" t="s">
        <v>12</v>
      </c>
      <c r="O1" s="12" t="s">
        <v>256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</row>
    <row r="2" spans="1:24" x14ac:dyDescent="0.25">
      <c r="A2" s="7">
        <v>2024</v>
      </c>
      <c r="B2" s="6" t="s">
        <v>27</v>
      </c>
      <c r="C2" s="6" t="s">
        <v>28</v>
      </c>
      <c r="D2" s="6" t="s">
        <v>29</v>
      </c>
      <c r="E2" s="6" t="s">
        <v>24</v>
      </c>
      <c r="F2" s="6" t="s">
        <v>30</v>
      </c>
      <c r="G2" s="6">
        <v>101</v>
      </c>
      <c r="H2" s="6">
        <v>1</v>
      </c>
      <c r="I2" s="6">
        <v>1</v>
      </c>
      <c r="J2" s="6">
        <v>1</v>
      </c>
      <c r="K2" s="6">
        <v>2</v>
      </c>
      <c r="L2" t="s">
        <v>23</v>
      </c>
      <c r="M2" s="8" t="s">
        <v>31</v>
      </c>
      <c r="N2" s="8" t="s">
        <v>470</v>
      </c>
      <c r="O2" s="9" t="s">
        <v>259</v>
      </c>
      <c r="P2" s="6">
        <v>11.05</v>
      </c>
      <c r="Q2" s="6">
        <v>17.5</v>
      </c>
      <c r="R2" s="6">
        <v>42.9</v>
      </c>
      <c r="S2" s="15">
        <f>P2*(1-Q2/100)/(1-0.12)</f>
        <v>10.359375000000002</v>
      </c>
      <c r="T2" s="10">
        <f>((100000*S2*12%/2.205))/((4.66*16)/10.764)</f>
        <v>8139.0552465621449</v>
      </c>
      <c r="U2" s="10">
        <f>T2/1.121</f>
        <v>7260.5309960411641</v>
      </c>
      <c r="V2" s="6">
        <v>72.41</v>
      </c>
      <c r="W2" s="6">
        <v>53.27</v>
      </c>
      <c r="X2" s="7">
        <v>0</v>
      </c>
    </row>
    <row r="3" spans="1:24" x14ac:dyDescent="0.25">
      <c r="A3" s="7">
        <v>2024</v>
      </c>
      <c r="B3" s="6" t="s">
        <v>27</v>
      </c>
      <c r="C3" s="6" t="s">
        <v>28</v>
      </c>
      <c r="D3" s="6" t="s">
        <v>29</v>
      </c>
      <c r="E3" s="6" t="s">
        <v>24</v>
      </c>
      <c r="F3" s="6" t="s">
        <v>32</v>
      </c>
      <c r="G3" s="6">
        <v>102</v>
      </c>
      <c r="H3" s="6">
        <v>2</v>
      </c>
      <c r="I3" s="6">
        <v>1</v>
      </c>
      <c r="J3" s="6">
        <v>1</v>
      </c>
      <c r="K3" s="6">
        <v>8</v>
      </c>
      <c r="L3" t="s">
        <v>23</v>
      </c>
      <c r="M3" s="8" t="s">
        <v>33</v>
      </c>
      <c r="N3" s="8" t="s">
        <v>58</v>
      </c>
      <c r="O3" s="9" t="s">
        <v>467</v>
      </c>
      <c r="P3" s="6">
        <v>11.64</v>
      </c>
      <c r="Q3" s="6">
        <v>17</v>
      </c>
      <c r="R3" s="6">
        <v>43</v>
      </c>
      <c r="S3" s="15">
        <f>P3*(1-Q3/100)/(1-0.12)</f>
        <v>10.978636363636362</v>
      </c>
      <c r="T3" s="10">
        <f t="shared" ref="T3:T66" si="0">((100000*S3*12%/2.205))/((4.66*16)/10.764)</f>
        <v>8625.5906264183377</v>
      </c>
      <c r="U3" s="10">
        <f t="shared" ref="U3:U66" si="1">T3/1.121</f>
        <v>7694.5500681697931</v>
      </c>
      <c r="V3" s="6">
        <v>72.34</v>
      </c>
      <c r="W3" s="6">
        <v>53.64</v>
      </c>
      <c r="X3" s="7">
        <v>0</v>
      </c>
    </row>
    <row r="4" spans="1:24" x14ac:dyDescent="0.25">
      <c r="A4" s="7">
        <v>2024</v>
      </c>
      <c r="B4" s="6" t="s">
        <v>27</v>
      </c>
      <c r="C4" s="6" t="s">
        <v>28</v>
      </c>
      <c r="D4" s="6" t="s">
        <v>29</v>
      </c>
      <c r="E4" s="6" t="s">
        <v>24</v>
      </c>
      <c r="F4" s="6" t="s">
        <v>34</v>
      </c>
      <c r="G4" s="6">
        <v>103</v>
      </c>
      <c r="H4" s="6">
        <v>3</v>
      </c>
      <c r="I4" s="6">
        <v>1</v>
      </c>
      <c r="J4" s="6">
        <v>2</v>
      </c>
      <c r="K4" s="6">
        <v>6</v>
      </c>
      <c r="L4" t="s">
        <v>23</v>
      </c>
      <c r="M4" s="8" t="s">
        <v>31</v>
      </c>
      <c r="N4" s="8" t="s">
        <v>59</v>
      </c>
      <c r="O4" s="9" t="s">
        <v>259</v>
      </c>
      <c r="P4" s="6">
        <v>11.05</v>
      </c>
      <c r="Q4" s="6">
        <v>16.399999999999999</v>
      </c>
      <c r="R4" s="6">
        <v>43.4</v>
      </c>
      <c r="S4" s="15">
        <f t="shared" ref="S4:S67" si="2">P4*(1-Q4/100)/(1-0.12)</f>
        <v>10.497500000000002</v>
      </c>
      <c r="T4" s="10">
        <f t="shared" si="0"/>
        <v>8247.5759831829746</v>
      </c>
      <c r="U4" s="10">
        <f t="shared" si="1"/>
        <v>7357.3380759883803</v>
      </c>
      <c r="V4" s="6">
        <v>72.260000000000005</v>
      </c>
      <c r="W4" s="6">
        <v>52.07</v>
      </c>
      <c r="X4" s="7">
        <v>0</v>
      </c>
    </row>
    <row r="5" spans="1:24" x14ac:dyDescent="0.25">
      <c r="A5" s="7">
        <v>2024</v>
      </c>
      <c r="B5" s="6" t="s">
        <v>27</v>
      </c>
      <c r="C5" s="6" t="s">
        <v>28</v>
      </c>
      <c r="D5" s="6" t="s">
        <v>29</v>
      </c>
      <c r="E5" s="6" t="s">
        <v>24</v>
      </c>
      <c r="F5" s="6" t="s">
        <v>35</v>
      </c>
      <c r="G5" s="6">
        <v>104</v>
      </c>
      <c r="H5" s="6">
        <v>4</v>
      </c>
      <c r="I5" s="6">
        <v>1</v>
      </c>
      <c r="J5" s="6">
        <v>3</v>
      </c>
      <c r="K5" s="6">
        <v>4</v>
      </c>
      <c r="L5" t="s">
        <v>23</v>
      </c>
      <c r="M5" s="8" t="s">
        <v>31</v>
      </c>
      <c r="N5" s="8" t="s">
        <v>60</v>
      </c>
      <c r="O5" s="9" t="s">
        <v>259</v>
      </c>
      <c r="P5" s="6">
        <v>10.34</v>
      </c>
      <c r="Q5" s="6">
        <v>17.2</v>
      </c>
      <c r="R5" s="6">
        <v>42.9</v>
      </c>
      <c r="S5" s="15">
        <f t="shared" si="2"/>
        <v>9.7289999999999992</v>
      </c>
      <c r="T5" s="10">
        <f t="shared" si="0"/>
        <v>7643.7882105631934</v>
      </c>
      <c r="U5" s="10">
        <f t="shared" si="1"/>
        <v>6818.7227569698425</v>
      </c>
      <c r="V5" s="6">
        <v>71.7</v>
      </c>
      <c r="W5" s="6">
        <v>50.8</v>
      </c>
      <c r="X5" s="7">
        <v>1</v>
      </c>
    </row>
    <row r="6" spans="1:24" x14ac:dyDescent="0.25">
      <c r="A6" s="7">
        <v>2024</v>
      </c>
      <c r="B6" s="6" t="s">
        <v>27</v>
      </c>
      <c r="C6" s="6" t="s">
        <v>28</v>
      </c>
      <c r="D6" s="6" t="s">
        <v>29</v>
      </c>
      <c r="E6" s="6" t="s">
        <v>24</v>
      </c>
      <c r="F6" s="6" t="s">
        <v>36</v>
      </c>
      <c r="G6" s="6">
        <v>201</v>
      </c>
      <c r="H6" s="6">
        <v>1</v>
      </c>
      <c r="I6" s="6">
        <v>2</v>
      </c>
      <c r="J6" s="6">
        <v>1</v>
      </c>
      <c r="K6" s="6">
        <v>1</v>
      </c>
      <c r="L6" t="s">
        <v>23</v>
      </c>
      <c r="M6" s="8" t="s">
        <v>471</v>
      </c>
      <c r="N6" s="8" t="s">
        <v>471</v>
      </c>
      <c r="O6" s="8" t="s">
        <v>471</v>
      </c>
      <c r="P6" s="6">
        <v>11.75</v>
      </c>
      <c r="Q6" s="6">
        <v>17.3</v>
      </c>
      <c r="R6" s="6">
        <v>43</v>
      </c>
      <c r="S6" s="15">
        <f t="shared" si="2"/>
        <v>11.042329545454546</v>
      </c>
      <c r="T6" s="10">
        <f t="shared" si="0"/>
        <v>8675.63247987451</v>
      </c>
      <c r="U6" s="10">
        <f t="shared" si="1"/>
        <v>7739.1904369977783</v>
      </c>
      <c r="V6" s="6">
        <v>72.430000000000007</v>
      </c>
      <c r="W6" s="6">
        <v>53.93</v>
      </c>
      <c r="X6" s="7">
        <v>2</v>
      </c>
    </row>
    <row r="7" spans="1:24" x14ac:dyDescent="0.25">
      <c r="A7" s="7">
        <v>2024</v>
      </c>
      <c r="B7" s="6" t="s">
        <v>27</v>
      </c>
      <c r="C7" s="6" t="s">
        <v>28</v>
      </c>
      <c r="D7" s="6" t="s">
        <v>29</v>
      </c>
      <c r="E7" s="6" t="s">
        <v>24</v>
      </c>
      <c r="F7" s="6" t="s">
        <v>37</v>
      </c>
      <c r="G7" s="6">
        <v>202</v>
      </c>
      <c r="H7" s="6">
        <v>2</v>
      </c>
      <c r="I7" s="6">
        <v>2</v>
      </c>
      <c r="J7" s="6">
        <v>1</v>
      </c>
      <c r="K7" s="6">
        <v>3</v>
      </c>
      <c r="L7" t="s">
        <v>23</v>
      </c>
      <c r="M7" s="8" t="s">
        <v>31</v>
      </c>
      <c r="N7" s="8" t="s">
        <v>58</v>
      </c>
      <c r="O7" s="9" t="s">
        <v>259</v>
      </c>
      <c r="P7" s="6">
        <v>10.45</v>
      </c>
      <c r="Q7" s="6">
        <v>16.399999999999999</v>
      </c>
      <c r="R7" s="6">
        <v>43.3</v>
      </c>
      <c r="S7" s="15">
        <f t="shared" si="2"/>
        <v>9.9275000000000002</v>
      </c>
      <c r="T7" s="10">
        <f t="shared" si="0"/>
        <v>7799.7438031006395</v>
      </c>
      <c r="U7" s="10">
        <f t="shared" si="1"/>
        <v>6957.8446057989649</v>
      </c>
      <c r="V7" s="6">
        <v>72.260000000000005</v>
      </c>
      <c r="W7" s="6">
        <v>52.72</v>
      </c>
      <c r="X7" s="7">
        <v>1</v>
      </c>
    </row>
    <row r="8" spans="1:24" x14ac:dyDescent="0.25">
      <c r="A8" s="7">
        <v>2024</v>
      </c>
      <c r="B8" s="6" t="s">
        <v>27</v>
      </c>
      <c r="C8" s="6" t="s">
        <v>28</v>
      </c>
      <c r="D8" s="6" t="s">
        <v>29</v>
      </c>
      <c r="E8" s="6" t="s">
        <v>24</v>
      </c>
      <c r="F8" s="6" t="s">
        <v>38</v>
      </c>
      <c r="G8" s="6">
        <v>203</v>
      </c>
      <c r="H8" s="6">
        <v>3</v>
      </c>
      <c r="I8" s="6">
        <v>2</v>
      </c>
      <c r="J8" s="6">
        <v>2</v>
      </c>
      <c r="K8" s="6">
        <v>2</v>
      </c>
      <c r="L8" t="s">
        <v>23</v>
      </c>
      <c r="M8" s="8" t="s">
        <v>31</v>
      </c>
      <c r="N8" s="8" t="s">
        <v>470</v>
      </c>
      <c r="O8" s="9" t="s">
        <v>259</v>
      </c>
      <c r="P8" s="6">
        <v>10.97</v>
      </c>
      <c r="Q8" s="6">
        <v>17</v>
      </c>
      <c r="R8" s="6">
        <v>43.2</v>
      </c>
      <c r="S8" s="15">
        <f t="shared" si="2"/>
        <v>10.346704545454546</v>
      </c>
      <c r="T8" s="10">
        <f t="shared" si="0"/>
        <v>8129.1004443135034</v>
      </c>
      <c r="U8" s="10">
        <f t="shared" si="1"/>
        <v>7251.6507085758285</v>
      </c>
      <c r="V8" s="6">
        <v>72.03</v>
      </c>
      <c r="W8" s="6">
        <v>52.49</v>
      </c>
      <c r="X8" s="7">
        <v>0</v>
      </c>
    </row>
    <row r="9" spans="1:24" x14ac:dyDescent="0.25">
      <c r="A9" s="7">
        <v>2024</v>
      </c>
      <c r="B9" s="6" t="s">
        <v>27</v>
      </c>
      <c r="C9" s="6" t="s">
        <v>28</v>
      </c>
      <c r="D9" s="6" t="s">
        <v>29</v>
      </c>
      <c r="E9" s="6" t="s">
        <v>24</v>
      </c>
      <c r="F9" s="6" t="s">
        <v>39</v>
      </c>
      <c r="G9" s="6">
        <v>204</v>
      </c>
      <c r="H9" s="6">
        <v>4</v>
      </c>
      <c r="I9" s="6">
        <v>2</v>
      </c>
      <c r="J9" s="6">
        <v>3</v>
      </c>
      <c r="K9" s="6">
        <v>6</v>
      </c>
      <c r="L9" t="s">
        <v>23</v>
      </c>
      <c r="M9" s="8" t="s">
        <v>31</v>
      </c>
      <c r="N9" s="8" t="s">
        <v>59</v>
      </c>
      <c r="O9" s="9" t="s">
        <v>259</v>
      </c>
      <c r="P9" s="6">
        <v>10.53</v>
      </c>
      <c r="Q9" s="6">
        <v>17.2</v>
      </c>
      <c r="R9" s="6">
        <v>43.1</v>
      </c>
      <c r="S9" s="15">
        <f t="shared" si="2"/>
        <v>9.907772727272727</v>
      </c>
      <c r="T9" s="10">
        <f t="shared" si="0"/>
        <v>7784.244667043562</v>
      </c>
      <c r="U9" s="10">
        <f t="shared" si="1"/>
        <v>6944.0184362565224</v>
      </c>
      <c r="V9" s="6">
        <v>71.98</v>
      </c>
      <c r="W9" s="6">
        <v>52.52</v>
      </c>
      <c r="X9" s="7">
        <v>1</v>
      </c>
    </row>
    <row r="10" spans="1:24" x14ac:dyDescent="0.25">
      <c r="A10" s="7">
        <v>2024</v>
      </c>
      <c r="B10" s="6" t="s">
        <v>27</v>
      </c>
      <c r="C10" s="6" t="s">
        <v>28</v>
      </c>
      <c r="D10" s="6" t="s">
        <v>29</v>
      </c>
      <c r="E10" s="6" t="s">
        <v>24</v>
      </c>
      <c r="F10" s="6" t="s">
        <v>40</v>
      </c>
      <c r="G10" s="6">
        <v>301</v>
      </c>
      <c r="H10" s="6">
        <v>1</v>
      </c>
      <c r="I10" s="6">
        <v>3</v>
      </c>
      <c r="J10" s="6">
        <v>1</v>
      </c>
      <c r="K10" s="6">
        <v>4</v>
      </c>
      <c r="L10" t="s">
        <v>23</v>
      </c>
      <c r="M10" s="8" t="s">
        <v>31</v>
      </c>
      <c r="N10" s="8" t="s">
        <v>60</v>
      </c>
      <c r="O10" s="9" t="s">
        <v>259</v>
      </c>
      <c r="P10" s="6">
        <v>11.36</v>
      </c>
      <c r="Q10" s="6">
        <v>16.899999999999999</v>
      </c>
      <c r="R10" s="6">
        <v>43.1</v>
      </c>
      <c r="S10" s="15">
        <f t="shared" si="2"/>
        <v>10.727454545454544</v>
      </c>
      <c r="T10" s="10">
        <f t="shared" si="0"/>
        <v>8428.244483903587</v>
      </c>
      <c r="U10" s="10">
        <f t="shared" si="1"/>
        <v>7518.505338004984</v>
      </c>
      <c r="V10" s="6">
        <v>72.38</v>
      </c>
      <c r="W10" s="6">
        <v>53.44</v>
      </c>
      <c r="X10" s="7">
        <v>1</v>
      </c>
    </row>
    <row r="11" spans="1:24" x14ac:dyDescent="0.25">
      <c r="A11" s="7">
        <v>2024</v>
      </c>
      <c r="B11" s="6" t="s">
        <v>27</v>
      </c>
      <c r="C11" s="6" t="s">
        <v>28</v>
      </c>
      <c r="D11" s="6" t="s">
        <v>29</v>
      </c>
      <c r="E11" s="6" t="s">
        <v>24</v>
      </c>
      <c r="F11" s="6" t="s">
        <v>41</v>
      </c>
      <c r="G11" s="6">
        <v>302</v>
      </c>
      <c r="H11" s="6">
        <v>2</v>
      </c>
      <c r="I11" s="6">
        <v>3</v>
      </c>
      <c r="J11" s="6">
        <v>2</v>
      </c>
      <c r="K11" s="6">
        <v>4</v>
      </c>
      <c r="L11" t="s">
        <v>23</v>
      </c>
      <c r="M11" s="8" t="s">
        <v>31</v>
      </c>
      <c r="N11" s="8" t="s">
        <v>60</v>
      </c>
      <c r="O11" s="9" t="s">
        <v>259</v>
      </c>
      <c r="P11" s="6">
        <v>10.72</v>
      </c>
      <c r="Q11" s="6">
        <v>16.600000000000001</v>
      </c>
      <c r="R11" s="6">
        <v>43.2</v>
      </c>
      <c r="S11" s="15">
        <f t="shared" si="2"/>
        <v>10.159636363636364</v>
      </c>
      <c r="T11" s="10">
        <f t="shared" si="0"/>
        <v>7982.1264939842495</v>
      </c>
      <c r="U11" s="10">
        <f t="shared" si="1"/>
        <v>7120.5410294239509</v>
      </c>
      <c r="V11" s="6">
        <v>71.63</v>
      </c>
      <c r="W11" s="6">
        <v>51.16</v>
      </c>
      <c r="X11" s="7">
        <v>0</v>
      </c>
    </row>
    <row r="12" spans="1:24" x14ac:dyDescent="0.25">
      <c r="A12" s="7">
        <v>2024</v>
      </c>
      <c r="B12" s="6" t="s">
        <v>27</v>
      </c>
      <c r="C12" s="6" t="s">
        <v>28</v>
      </c>
      <c r="D12" s="6" t="s">
        <v>29</v>
      </c>
      <c r="E12" s="6" t="s">
        <v>24</v>
      </c>
      <c r="F12" s="6" t="s">
        <v>42</v>
      </c>
      <c r="G12" s="6">
        <v>303</v>
      </c>
      <c r="H12" s="6">
        <v>3</v>
      </c>
      <c r="I12" s="6">
        <v>3</v>
      </c>
      <c r="J12" s="6">
        <v>2</v>
      </c>
      <c r="K12" s="6">
        <v>7</v>
      </c>
      <c r="L12" t="s">
        <v>23</v>
      </c>
      <c r="M12" s="8" t="s">
        <v>31</v>
      </c>
      <c r="N12" s="8" t="s">
        <v>61</v>
      </c>
      <c r="O12" s="9" t="s">
        <v>259</v>
      </c>
      <c r="P12" s="6">
        <v>11.24</v>
      </c>
      <c r="Q12" s="6">
        <v>17.100000000000001</v>
      </c>
      <c r="R12" s="6">
        <v>43.1</v>
      </c>
      <c r="S12" s="15">
        <f t="shared" si="2"/>
        <v>10.588590909090909</v>
      </c>
      <c r="T12" s="10">
        <f t="shared" si="0"/>
        <v>8319.1434224879958</v>
      </c>
      <c r="U12" s="10">
        <f t="shared" si="1"/>
        <v>7421.1805731382656</v>
      </c>
      <c r="V12" s="6">
        <v>72.55</v>
      </c>
      <c r="W12" s="6">
        <v>55.17</v>
      </c>
      <c r="X12" s="7">
        <v>0</v>
      </c>
    </row>
    <row r="13" spans="1:24" x14ac:dyDescent="0.25">
      <c r="A13" s="7">
        <v>2024</v>
      </c>
      <c r="B13" s="6" t="s">
        <v>27</v>
      </c>
      <c r="C13" s="6" t="s">
        <v>28</v>
      </c>
      <c r="D13" s="6" t="s">
        <v>29</v>
      </c>
      <c r="E13" s="6" t="s">
        <v>24</v>
      </c>
      <c r="F13" s="6" t="s">
        <v>43</v>
      </c>
      <c r="G13" s="6">
        <v>304</v>
      </c>
      <c r="H13" s="6">
        <v>4</v>
      </c>
      <c r="I13" s="6">
        <v>3</v>
      </c>
      <c r="J13" s="6">
        <v>3</v>
      </c>
      <c r="K13" s="6">
        <v>2</v>
      </c>
      <c r="L13" t="s">
        <v>23</v>
      </c>
      <c r="M13" s="8" t="s">
        <v>31</v>
      </c>
      <c r="N13" s="8" t="s">
        <v>470</v>
      </c>
      <c r="O13" s="9" t="s">
        <v>259</v>
      </c>
      <c r="P13" s="6">
        <v>10.19</v>
      </c>
      <c r="Q13" s="6">
        <v>17.3</v>
      </c>
      <c r="R13" s="6">
        <v>43.1</v>
      </c>
      <c r="S13" s="15">
        <f t="shared" si="2"/>
        <v>9.5762840909090912</v>
      </c>
      <c r="T13" s="10">
        <f t="shared" si="0"/>
        <v>7523.8038272273398</v>
      </c>
      <c r="U13" s="10">
        <f t="shared" si="1"/>
        <v>6711.6894087665833</v>
      </c>
      <c r="V13" s="6">
        <v>73.209999999999994</v>
      </c>
      <c r="W13" s="6">
        <v>54.55</v>
      </c>
      <c r="X13" s="7">
        <v>1</v>
      </c>
    </row>
    <row r="14" spans="1:24" x14ac:dyDescent="0.25">
      <c r="A14" s="7">
        <v>2024</v>
      </c>
      <c r="B14" s="6" t="s">
        <v>27</v>
      </c>
      <c r="C14" s="6" t="s">
        <v>28</v>
      </c>
      <c r="D14" s="6" t="s">
        <v>29</v>
      </c>
      <c r="E14" s="6" t="s">
        <v>24</v>
      </c>
      <c r="F14" s="6" t="s">
        <v>44</v>
      </c>
      <c r="G14" s="6">
        <v>401</v>
      </c>
      <c r="H14" s="6">
        <v>1</v>
      </c>
      <c r="I14" s="6">
        <v>4</v>
      </c>
      <c r="J14" s="6">
        <v>1</v>
      </c>
      <c r="K14" s="6">
        <v>5</v>
      </c>
      <c r="L14" t="s">
        <v>23</v>
      </c>
      <c r="M14" s="8" t="s">
        <v>31</v>
      </c>
      <c r="N14" s="8" t="s">
        <v>62</v>
      </c>
      <c r="O14" s="9" t="s">
        <v>259</v>
      </c>
      <c r="P14" s="6">
        <v>10.99</v>
      </c>
      <c r="Q14" s="6">
        <v>17</v>
      </c>
      <c r="R14" s="6">
        <v>43.1</v>
      </c>
      <c r="S14" s="15">
        <f t="shared" si="2"/>
        <v>10.365568181818183</v>
      </c>
      <c r="T14" s="10">
        <f t="shared" si="0"/>
        <v>8143.9210467643943</v>
      </c>
      <c r="U14" s="10">
        <f t="shared" si="1"/>
        <v>7264.8715849816181</v>
      </c>
      <c r="V14" s="6">
        <v>72.05</v>
      </c>
      <c r="W14" s="6">
        <v>51.89</v>
      </c>
      <c r="X14" s="7">
        <v>1</v>
      </c>
    </row>
    <row r="15" spans="1:24" x14ac:dyDescent="0.25">
      <c r="A15" s="7">
        <v>2024</v>
      </c>
      <c r="B15" s="6" t="s">
        <v>27</v>
      </c>
      <c r="C15" s="6" t="s">
        <v>28</v>
      </c>
      <c r="D15" s="6" t="s">
        <v>29</v>
      </c>
      <c r="E15" s="6" t="s">
        <v>24</v>
      </c>
      <c r="F15" s="6" t="s">
        <v>45</v>
      </c>
      <c r="G15" s="6">
        <v>402</v>
      </c>
      <c r="H15" s="6">
        <v>2</v>
      </c>
      <c r="I15" s="6">
        <v>4</v>
      </c>
      <c r="J15" s="6">
        <v>2</v>
      </c>
      <c r="K15" s="6">
        <v>5</v>
      </c>
      <c r="L15" t="s">
        <v>23</v>
      </c>
      <c r="M15" s="8" t="s">
        <v>31</v>
      </c>
      <c r="N15" s="8" t="s">
        <v>62</v>
      </c>
      <c r="O15" s="9" t="s">
        <v>259</v>
      </c>
      <c r="P15" s="6">
        <v>11.12</v>
      </c>
      <c r="Q15" s="6">
        <v>16.2</v>
      </c>
      <c r="R15" s="6">
        <v>43.5</v>
      </c>
      <c r="S15" s="15">
        <f t="shared" si="2"/>
        <v>10.589272727272727</v>
      </c>
      <c r="T15" s="10">
        <f t="shared" si="0"/>
        <v>8319.6791069139308</v>
      </c>
      <c r="U15" s="10">
        <f t="shared" si="1"/>
        <v>7421.6584361408841</v>
      </c>
      <c r="V15" s="6">
        <v>72.27</v>
      </c>
      <c r="W15" s="6">
        <v>51.63</v>
      </c>
      <c r="X15" s="7">
        <v>1</v>
      </c>
    </row>
    <row r="16" spans="1:24" x14ac:dyDescent="0.25">
      <c r="A16" s="7">
        <v>2024</v>
      </c>
      <c r="B16" s="6" t="s">
        <v>27</v>
      </c>
      <c r="C16" s="6" t="s">
        <v>28</v>
      </c>
      <c r="D16" s="6" t="s">
        <v>29</v>
      </c>
      <c r="E16" s="6" t="s">
        <v>24</v>
      </c>
      <c r="F16" s="6" t="s">
        <v>46</v>
      </c>
      <c r="G16" s="6">
        <v>403</v>
      </c>
      <c r="H16" s="6">
        <v>3</v>
      </c>
      <c r="I16" s="6">
        <v>4</v>
      </c>
      <c r="J16" s="6">
        <v>2</v>
      </c>
      <c r="K16" s="6">
        <v>3</v>
      </c>
      <c r="L16" t="s">
        <v>23</v>
      </c>
      <c r="M16" s="8" t="s">
        <v>31</v>
      </c>
      <c r="N16" s="8" t="s">
        <v>58</v>
      </c>
      <c r="O16" s="9" t="s">
        <v>259</v>
      </c>
      <c r="P16" s="6">
        <v>10.6</v>
      </c>
      <c r="Q16" s="6">
        <v>16.100000000000001</v>
      </c>
      <c r="R16" s="6">
        <v>43.5</v>
      </c>
      <c r="S16" s="15">
        <f t="shared" si="2"/>
        <v>10.106136363636363</v>
      </c>
      <c r="T16" s="10">
        <f t="shared" si="0"/>
        <v>7940.0931226958201</v>
      </c>
      <c r="U16" s="10">
        <f t="shared" si="1"/>
        <v>7083.0447124851207</v>
      </c>
      <c r="V16" s="6">
        <v>72.5</v>
      </c>
      <c r="W16" s="6">
        <v>53.32</v>
      </c>
      <c r="X16" s="7">
        <v>1</v>
      </c>
    </row>
    <row r="17" spans="1:24" x14ac:dyDescent="0.25">
      <c r="A17" s="7">
        <v>2024</v>
      </c>
      <c r="B17" s="6" t="s">
        <v>27</v>
      </c>
      <c r="C17" s="6" t="s">
        <v>28</v>
      </c>
      <c r="D17" s="6" t="s">
        <v>29</v>
      </c>
      <c r="E17" s="6" t="s">
        <v>24</v>
      </c>
      <c r="F17" s="6" t="s">
        <v>47</v>
      </c>
      <c r="G17" s="6">
        <v>404</v>
      </c>
      <c r="H17" s="6">
        <v>4</v>
      </c>
      <c r="I17" s="6">
        <v>4</v>
      </c>
      <c r="J17" s="6">
        <v>3</v>
      </c>
      <c r="K17" s="6">
        <v>5</v>
      </c>
      <c r="L17" t="s">
        <v>23</v>
      </c>
      <c r="M17" s="8" t="s">
        <v>31</v>
      </c>
      <c r="N17" s="8" t="s">
        <v>62</v>
      </c>
      <c r="O17" s="9" t="s">
        <v>259</v>
      </c>
      <c r="P17" s="6">
        <v>9.7899999999999991</v>
      </c>
      <c r="Q17" s="6">
        <v>16.8</v>
      </c>
      <c r="R17" s="6">
        <v>43.2</v>
      </c>
      <c r="S17" s="15">
        <f t="shared" si="2"/>
        <v>9.2560000000000002</v>
      </c>
      <c r="T17" s="10">
        <f t="shared" si="0"/>
        <v>7272.1660681439953</v>
      </c>
      <c r="U17" s="10">
        <f t="shared" si="1"/>
        <v>6487.2132632863477</v>
      </c>
      <c r="V17" s="6">
        <v>71.84</v>
      </c>
      <c r="W17" s="6">
        <v>51.31</v>
      </c>
      <c r="X17" s="7">
        <v>1</v>
      </c>
    </row>
    <row r="18" spans="1:24" x14ac:dyDescent="0.25">
      <c r="A18" s="7">
        <v>2024</v>
      </c>
      <c r="B18" s="6" t="s">
        <v>27</v>
      </c>
      <c r="C18" s="6" t="s">
        <v>28</v>
      </c>
      <c r="D18" s="6" t="s">
        <v>29</v>
      </c>
      <c r="E18" s="6" t="s">
        <v>24</v>
      </c>
      <c r="F18" s="6" t="s">
        <v>48</v>
      </c>
      <c r="G18" s="6">
        <v>501</v>
      </c>
      <c r="H18" s="6">
        <v>1</v>
      </c>
      <c r="I18" s="6">
        <v>5</v>
      </c>
      <c r="J18" s="6">
        <v>1</v>
      </c>
      <c r="K18" s="6">
        <v>7</v>
      </c>
      <c r="L18" t="s">
        <v>23</v>
      </c>
      <c r="M18" s="8" t="s">
        <v>31</v>
      </c>
      <c r="N18" s="8" t="s">
        <v>61</v>
      </c>
      <c r="O18" s="9" t="s">
        <v>259</v>
      </c>
      <c r="P18" s="6">
        <v>10.98</v>
      </c>
      <c r="Q18" s="6">
        <v>17</v>
      </c>
      <c r="R18" s="6">
        <v>43</v>
      </c>
      <c r="S18" s="15">
        <f t="shared" si="2"/>
        <v>10.356136363636365</v>
      </c>
      <c r="T18" s="10">
        <f t="shared" si="0"/>
        <v>8136.5107455389489</v>
      </c>
      <c r="U18" s="10">
        <f t="shared" si="1"/>
        <v>7258.2611467787237</v>
      </c>
      <c r="V18" s="6">
        <v>70.61</v>
      </c>
      <c r="W18" s="6">
        <v>49.58</v>
      </c>
      <c r="X18" s="7">
        <v>0</v>
      </c>
    </row>
    <row r="19" spans="1:24" x14ac:dyDescent="0.25">
      <c r="A19" s="7">
        <v>2024</v>
      </c>
      <c r="B19" s="6" t="s">
        <v>27</v>
      </c>
      <c r="C19" s="6" t="s">
        <v>28</v>
      </c>
      <c r="D19" s="6" t="s">
        <v>29</v>
      </c>
      <c r="E19" s="6" t="s">
        <v>24</v>
      </c>
      <c r="F19" s="6" t="s">
        <v>49</v>
      </c>
      <c r="G19" s="6">
        <v>502</v>
      </c>
      <c r="H19" s="6">
        <v>2</v>
      </c>
      <c r="I19" s="6">
        <v>5</v>
      </c>
      <c r="J19" s="6">
        <v>2</v>
      </c>
      <c r="K19" s="6">
        <v>1</v>
      </c>
      <c r="L19" t="s">
        <v>23</v>
      </c>
      <c r="M19" s="8" t="s">
        <v>471</v>
      </c>
      <c r="N19" s="8" t="s">
        <v>471</v>
      </c>
      <c r="O19" s="8" t="s">
        <v>471</v>
      </c>
      <c r="P19" s="6">
        <v>10.71</v>
      </c>
      <c r="Q19" s="6">
        <v>16.100000000000001</v>
      </c>
      <c r="R19" s="6">
        <v>43.5</v>
      </c>
      <c r="S19" s="15">
        <f t="shared" si="2"/>
        <v>10.211011363636363</v>
      </c>
      <c r="T19" s="10">
        <f t="shared" si="0"/>
        <v>8022.4903154785106</v>
      </c>
      <c r="U19" s="10">
        <f t="shared" si="1"/>
        <v>7156.5480066712853</v>
      </c>
      <c r="V19" s="6">
        <v>71.489999999999995</v>
      </c>
      <c r="W19" s="6">
        <v>49.31</v>
      </c>
      <c r="X19" s="7">
        <v>1</v>
      </c>
    </row>
    <row r="20" spans="1:24" x14ac:dyDescent="0.25">
      <c r="A20" s="7">
        <v>2024</v>
      </c>
      <c r="B20" s="6" t="s">
        <v>27</v>
      </c>
      <c r="C20" s="6" t="s">
        <v>28</v>
      </c>
      <c r="D20" s="6" t="s">
        <v>29</v>
      </c>
      <c r="E20" s="6" t="s">
        <v>24</v>
      </c>
      <c r="F20" s="6" t="s">
        <v>50</v>
      </c>
      <c r="G20" s="6">
        <v>503</v>
      </c>
      <c r="H20" s="6">
        <v>3</v>
      </c>
      <c r="I20" s="6">
        <v>5</v>
      </c>
      <c r="J20" s="6">
        <v>3</v>
      </c>
      <c r="K20" s="6">
        <v>3</v>
      </c>
      <c r="L20" t="s">
        <v>23</v>
      </c>
      <c r="M20" s="8" t="s">
        <v>31</v>
      </c>
      <c r="N20" s="8" t="s">
        <v>58</v>
      </c>
      <c r="O20" s="9" t="s">
        <v>259</v>
      </c>
      <c r="P20" s="6">
        <v>10.69</v>
      </c>
      <c r="Q20" s="6">
        <v>15.8</v>
      </c>
      <c r="R20" s="6">
        <v>43.6</v>
      </c>
      <c r="S20" s="15">
        <f t="shared" si="2"/>
        <v>10.228386363636362</v>
      </c>
      <c r="T20" s="10">
        <f t="shared" si="0"/>
        <v>8036.1413402661083</v>
      </c>
      <c r="U20" s="10">
        <f t="shared" si="1"/>
        <v>7168.7255488546907</v>
      </c>
      <c r="V20" s="6">
        <v>71.02</v>
      </c>
      <c r="W20" s="6">
        <v>49.92</v>
      </c>
      <c r="X20" s="7">
        <v>0</v>
      </c>
    </row>
    <row r="21" spans="1:24" x14ac:dyDescent="0.25">
      <c r="A21" s="7">
        <v>2024</v>
      </c>
      <c r="B21" s="6" t="s">
        <v>27</v>
      </c>
      <c r="C21" s="6" t="s">
        <v>28</v>
      </c>
      <c r="D21" s="6" t="s">
        <v>29</v>
      </c>
      <c r="E21" s="6" t="s">
        <v>24</v>
      </c>
      <c r="F21" s="6" t="s">
        <v>51</v>
      </c>
      <c r="G21" s="6">
        <v>504</v>
      </c>
      <c r="H21" s="6">
        <v>4</v>
      </c>
      <c r="I21" s="6">
        <v>5</v>
      </c>
      <c r="J21" s="6">
        <v>3</v>
      </c>
      <c r="K21" s="6">
        <v>1</v>
      </c>
      <c r="L21" t="s">
        <v>23</v>
      </c>
      <c r="M21" s="8" t="s">
        <v>471</v>
      </c>
      <c r="N21" s="8" t="s">
        <v>471</v>
      </c>
      <c r="O21" s="8" t="s">
        <v>471</v>
      </c>
      <c r="P21" s="6">
        <v>10.220000000000001</v>
      </c>
      <c r="Q21" s="6">
        <v>16.5</v>
      </c>
      <c r="R21" s="6">
        <v>43.4</v>
      </c>
      <c r="S21" s="15">
        <f t="shared" si="2"/>
        <v>9.6973863636363635</v>
      </c>
      <c r="T21" s="10">
        <f t="shared" si="0"/>
        <v>7618.950309347304</v>
      </c>
      <c r="U21" s="10">
        <f t="shared" si="1"/>
        <v>6796.5658424150797</v>
      </c>
      <c r="V21" s="6">
        <v>70.39</v>
      </c>
      <c r="W21" s="6">
        <v>46.57</v>
      </c>
      <c r="X21" s="7">
        <v>1</v>
      </c>
    </row>
    <row r="22" spans="1:24" x14ac:dyDescent="0.25">
      <c r="A22" s="7">
        <v>2024</v>
      </c>
      <c r="B22" s="6" t="s">
        <v>27</v>
      </c>
      <c r="C22" s="6" t="s">
        <v>28</v>
      </c>
      <c r="D22" s="6" t="s">
        <v>29</v>
      </c>
      <c r="E22" s="6" t="s">
        <v>24</v>
      </c>
      <c r="F22" s="6" t="s">
        <v>52</v>
      </c>
      <c r="G22" s="6">
        <v>601</v>
      </c>
      <c r="H22" s="6">
        <v>1</v>
      </c>
      <c r="I22" s="6">
        <v>6</v>
      </c>
      <c r="J22" s="6">
        <v>1</v>
      </c>
      <c r="K22" s="6">
        <v>6</v>
      </c>
      <c r="L22" t="s">
        <v>23</v>
      </c>
      <c r="M22" s="8" t="s">
        <v>31</v>
      </c>
      <c r="N22" s="8" t="s">
        <v>59</v>
      </c>
      <c r="O22" s="9" t="s">
        <v>259</v>
      </c>
      <c r="P22" s="6">
        <v>10.4</v>
      </c>
      <c r="Q22" s="6">
        <v>16.899999999999999</v>
      </c>
      <c r="R22" s="6">
        <v>43.1</v>
      </c>
      <c r="S22" s="15">
        <f t="shared" si="2"/>
        <v>9.8209090909090904</v>
      </c>
      <c r="T22" s="10">
        <f t="shared" si="0"/>
        <v>7715.9984711793404</v>
      </c>
      <c r="U22" s="10">
        <f t="shared" si="1"/>
        <v>6883.1386897228731</v>
      </c>
      <c r="V22" s="6">
        <v>70.48</v>
      </c>
      <c r="W22" s="6">
        <v>48.67</v>
      </c>
      <c r="X22" s="7">
        <v>1</v>
      </c>
    </row>
    <row r="23" spans="1:24" x14ac:dyDescent="0.25">
      <c r="A23" s="7">
        <v>2024</v>
      </c>
      <c r="B23" s="6" t="s">
        <v>27</v>
      </c>
      <c r="C23" s="6" t="s">
        <v>28</v>
      </c>
      <c r="D23" s="6" t="s">
        <v>29</v>
      </c>
      <c r="E23" s="6" t="s">
        <v>24</v>
      </c>
      <c r="F23" s="6" t="s">
        <v>53</v>
      </c>
      <c r="G23" s="6">
        <v>602</v>
      </c>
      <c r="H23" s="6">
        <v>2</v>
      </c>
      <c r="I23" s="6">
        <v>6</v>
      </c>
      <c r="J23" s="6">
        <v>2</v>
      </c>
      <c r="K23" s="6">
        <v>8</v>
      </c>
      <c r="L23" t="s">
        <v>23</v>
      </c>
      <c r="M23" s="8" t="s">
        <v>33</v>
      </c>
      <c r="N23" s="8" t="s">
        <v>58</v>
      </c>
      <c r="O23" s="9" t="s">
        <v>467</v>
      </c>
      <c r="P23" s="6">
        <v>10.59</v>
      </c>
      <c r="Q23" s="6">
        <v>16.8</v>
      </c>
      <c r="R23" s="6">
        <v>43.1</v>
      </c>
      <c r="S23" s="15">
        <f t="shared" si="2"/>
        <v>10.012363636363636</v>
      </c>
      <c r="T23" s="10">
        <f t="shared" si="0"/>
        <v>7866.4186579821153</v>
      </c>
      <c r="U23" s="10">
        <f t="shared" si="1"/>
        <v>7017.3226208582655</v>
      </c>
      <c r="V23" s="6">
        <v>70.489999999999995</v>
      </c>
      <c r="W23" s="6">
        <v>49.09</v>
      </c>
      <c r="X23" s="7">
        <v>1</v>
      </c>
    </row>
    <row r="24" spans="1:24" x14ac:dyDescent="0.25">
      <c r="A24" s="7">
        <v>2024</v>
      </c>
      <c r="B24" s="6" t="s">
        <v>27</v>
      </c>
      <c r="C24" s="6" t="s">
        <v>28</v>
      </c>
      <c r="D24" s="6" t="s">
        <v>29</v>
      </c>
      <c r="E24" s="6" t="s">
        <v>24</v>
      </c>
      <c r="F24" s="6" t="s">
        <v>54</v>
      </c>
      <c r="G24" s="6">
        <v>603</v>
      </c>
      <c r="H24" s="6">
        <v>3</v>
      </c>
      <c r="I24" s="6">
        <v>6</v>
      </c>
      <c r="J24" s="6">
        <v>3</v>
      </c>
      <c r="K24" s="6">
        <v>8</v>
      </c>
      <c r="L24" t="s">
        <v>23</v>
      </c>
      <c r="M24" s="8" t="s">
        <v>33</v>
      </c>
      <c r="N24" s="8" t="s">
        <v>58</v>
      </c>
      <c r="O24" s="9" t="s">
        <v>467</v>
      </c>
      <c r="P24" s="6">
        <v>10.72</v>
      </c>
      <c r="Q24" s="6">
        <v>16.899999999999999</v>
      </c>
      <c r="R24" s="6">
        <v>43.1</v>
      </c>
      <c r="S24" s="15">
        <f t="shared" si="2"/>
        <v>10.123090909090909</v>
      </c>
      <c r="T24" s="10">
        <f t="shared" si="0"/>
        <v>7953.4138087540896</v>
      </c>
      <c r="U24" s="10">
        <f t="shared" si="1"/>
        <v>7094.927572483577</v>
      </c>
      <c r="V24" s="6">
        <v>70.12</v>
      </c>
      <c r="W24" s="6">
        <v>47.77</v>
      </c>
      <c r="X24" s="7">
        <v>1</v>
      </c>
    </row>
    <row r="25" spans="1:24" x14ac:dyDescent="0.25">
      <c r="A25" s="7">
        <v>2024</v>
      </c>
      <c r="B25" s="6" t="s">
        <v>27</v>
      </c>
      <c r="C25" s="6" t="s">
        <v>28</v>
      </c>
      <c r="D25" s="6" t="s">
        <v>29</v>
      </c>
      <c r="E25" s="6" t="s">
        <v>24</v>
      </c>
      <c r="F25" s="6" t="s">
        <v>55</v>
      </c>
      <c r="G25" s="6">
        <v>604</v>
      </c>
      <c r="H25" s="6">
        <v>4</v>
      </c>
      <c r="I25" s="6">
        <v>6</v>
      </c>
      <c r="J25" s="6">
        <v>3</v>
      </c>
      <c r="K25" s="6">
        <v>7</v>
      </c>
      <c r="L25" t="s">
        <v>23</v>
      </c>
      <c r="M25" s="8" t="s">
        <v>31</v>
      </c>
      <c r="N25" s="8" t="s">
        <v>61</v>
      </c>
      <c r="O25" s="9" t="s">
        <v>259</v>
      </c>
      <c r="P25" s="6">
        <v>9.82</v>
      </c>
      <c r="Q25" s="6">
        <v>17.3</v>
      </c>
      <c r="R25" s="6">
        <v>43.1</v>
      </c>
      <c r="S25" s="15">
        <f t="shared" si="2"/>
        <v>9.2285681818181828</v>
      </c>
      <c r="T25" s="10">
        <f t="shared" si="0"/>
        <v>7250.6136980738456</v>
      </c>
      <c r="U25" s="10">
        <f t="shared" si="1"/>
        <v>6467.9872418143141</v>
      </c>
      <c r="V25" s="6">
        <v>70.83</v>
      </c>
      <c r="W25" s="6">
        <v>49.8</v>
      </c>
      <c r="X25" s="7">
        <v>0</v>
      </c>
    </row>
    <row r="26" spans="1:24" x14ac:dyDescent="0.25">
      <c r="A26" s="7">
        <v>2024</v>
      </c>
      <c r="B26" s="6" t="s">
        <v>63</v>
      </c>
      <c r="C26" s="6" t="s">
        <v>64</v>
      </c>
      <c r="D26" s="6" t="s">
        <v>65</v>
      </c>
      <c r="E26" s="6" t="s">
        <v>25</v>
      </c>
      <c r="F26" s="6" t="s">
        <v>66</v>
      </c>
      <c r="G26" s="6">
        <v>101</v>
      </c>
      <c r="H26" s="6">
        <v>1</v>
      </c>
      <c r="I26" s="6">
        <v>1</v>
      </c>
      <c r="J26" s="6">
        <v>1</v>
      </c>
      <c r="K26" s="6">
        <v>8</v>
      </c>
      <c r="L26" t="s">
        <v>252</v>
      </c>
      <c r="M26" s="8" t="s">
        <v>33</v>
      </c>
      <c r="N26" s="8" t="s">
        <v>58</v>
      </c>
      <c r="O26" s="9" t="s">
        <v>467</v>
      </c>
      <c r="P26" s="6">
        <v>8.08</v>
      </c>
      <c r="Q26" s="6">
        <v>14.5</v>
      </c>
      <c r="R26" s="6">
        <v>34.5</v>
      </c>
      <c r="S26" s="15">
        <f t="shared" si="2"/>
        <v>7.8504545454545456</v>
      </c>
      <c r="T26" s="10">
        <f t="shared" si="0"/>
        <v>6167.8704802248631</v>
      </c>
      <c r="U26" s="10">
        <f t="shared" si="1"/>
        <v>5502.1146121542042</v>
      </c>
      <c r="V26" s="6">
        <v>65.69</v>
      </c>
      <c r="W26" s="6">
        <v>39.65</v>
      </c>
      <c r="X26" s="7">
        <v>1</v>
      </c>
    </row>
    <row r="27" spans="1:24" x14ac:dyDescent="0.25">
      <c r="A27" s="7">
        <v>2024</v>
      </c>
      <c r="B27" s="6" t="s">
        <v>63</v>
      </c>
      <c r="C27" s="6" t="s">
        <v>64</v>
      </c>
      <c r="D27" s="6" t="s">
        <v>65</v>
      </c>
      <c r="E27" s="6" t="s">
        <v>25</v>
      </c>
      <c r="F27" s="6" t="s">
        <v>67</v>
      </c>
      <c r="G27" s="6">
        <v>102</v>
      </c>
      <c r="H27" s="6">
        <v>2</v>
      </c>
      <c r="I27" s="6">
        <v>1</v>
      </c>
      <c r="J27" s="6">
        <v>1</v>
      </c>
      <c r="K27" s="6">
        <v>4</v>
      </c>
      <c r="L27" t="s">
        <v>252</v>
      </c>
      <c r="M27" s="8" t="s">
        <v>31</v>
      </c>
      <c r="N27" s="8" t="s">
        <v>60</v>
      </c>
      <c r="O27" s="9" t="s">
        <v>259</v>
      </c>
      <c r="P27" s="6">
        <v>6.85</v>
      </c>
      <c r="Q27" s="6">
        <v>15.1</v>
      </c>
      <c r="R27" s="6">
        <v>35.299999999999997</v>
      </c>
      <c r="S27" s="15">
        <f t="shared" si="2"/>
        <v>6.6086931818181816</v>
      </c>
      <c r="T27" s="10">
        <f t="shared" si="0"/>
        <v>5192.2552194892778</v>
      </c>
      <c r="U27" s="10">
        <f t="shared" si="1"/>
        <v>4631.8066186345031</v>
      </c>
      <c r="V27" s="6">
        <v>67.900000000000006</v>
      </c>
      <c r="W27" s="6">
        <v>42.42</v>
      </c>
      <c r="X27" s="7">
        <v>1</v>
      </c>
    </row>
    <row r="28" spans="1:24" x14ac:dyDescent="0.25">
      <c r="A28" s="7">
        <v>2024</v>
      </c>
      <c r="B28" s="6" t="s">
        <v>63</v>
      </c>
      <c r="C28" s="6" t="s">
        <v>64</v>
      </c>
      <c r="D28" s="6" t="s">
        <v>65</v>
      </c>
      <c r="E28" s="6" t="s">
        <v>25</v>
      </c>
      <c r="F28" s="6" t="s">
        <v>68</v>
      </c>
      <c r="G28" s="6">
        <v>103</v>
      </c>
      <c r="H28" s="6">
        <v>3</v>
      </c>
      <c r="I28" s="6">
        <v>1</v>
      </c>
      <c r="J28" s="6">
        <v>1</v>
      </c>
      <c r="K28" s="6">
        <v>1</v>
      </c>
      <c r="L28" t="s">
        <v>252</v>
      </c>
      <c r="M28" s="8" t="s">
        <v>471</v>
      </c>
      <c r="N28" s="8" t="s">
        <v>471</v>
      </c>
      <c r="O28" s="8" t="s">
        <v>471</v>
      </c>
      <c r="P28" s="6">
        <v>8.58</v>
      </c>
      <c r="Q28" s="6">
        <v>14.4</v>
      </c>
      <c r="R28" s="6">
        <v>37.700000000000003</v>
      </c>
      <c r="S28" s="15">
        <f t="shared" si="2"/>
        <v>8.3460000000000001</v>
      </c>
      <c r="T28" s="10">
        <f t="shared" si="0"/>
        <v>6557.2059209950066</v>
      </c>
      <c r="U28" s="10">
        <f t="shared" si="1"/>
        <v>5849.4254424576329</v>
      </c>
      <c r="V28" s="6">
        <v>69.77</v>
      </c>
      <c r="W28" s="6">
        <v>40.130000000000003</v>
      </c>
      <c r="X28" s="7">
        <v>1</v>
      </c>
    </row>
    <row r="29" spans="1:24" x14ac:dyDescent="0.25">
      <c r="A29" s="7">
        <v>2024</v>
      </c>
      <c r="B29" s="6" t="s">
        <v>63</v>
      </c>
      <c r="C29" s="6" t="s">
        <v>64</v>
      </c>
      <c r="D29" s="6" t="s">
        <v>65</v>
      </c>
      <c r="E29" s="6" t="s">
        <v>25</v>
      </c>
      <c r="F29" s="6" t="s">
        <v>69</v>
      </c>
      <c r="G29" s="6">
        <v>104</v>
      </c>
      <c r="H29" s="6">
        <v>4</v>
      </c>
      <c r="I29" s="6">
        <v>1</v>
      </c>
      <c r="J29" s="6">
        <v>2</v>
      </c>
      <c r="K29" s="6">
        <v>1</v>
      </c>
      <c r="L29" t="s">
        <v>252</v>
      </c>
      <c r="M29" s="8" t="s">
        <v>471</v>
      </c>
      <c r="N29" s="8" t="s">
        <v>471</v>
      </c>
      <c r="O29" s="8" t="s">
        <v>471</v>
      </c>
      <c r="P29" s="6">
        <v>8.74</v>
      </c>
      <c r="Q29" s="6">
        <v>14.5</v>
      </c>
      <c r="R29" s="6">
        <v>38.4</v>
      </c>
      <c r="S29" s="15">
        <f t="shared" si="2"/>
        <v>8.4917045454545459</v>
      </c>
      <c r="T29" s="10">
        <f t="shared" si="0"/>
        <v>6671.6816828174879</v>
      </c>
      <c r="U29" s="10">
        <f t="shared" si="1"/>
        <v>5951.5447661172948</v>
      </c>
      <c r="V29" s="6">
        <v>70.47</v>
      </c>
      <c r="W29" s="6">
        <v>42.41</v>
      </c>
      <c r="X29" s="7">
        <v>1</v>
      </c>
    </row>
    <row r="30" spans="1:24" x14ac:dyDescent="0.25">
      <c r="A30" s="7">
        <v>2024</v>
      </c>
      <c r="B30" s="6" t="s">
        <v>63</v>
      </c>
      <c r="C30" s="6" t="s">
        <v>64</v>
      </c>
      <c r="D30" s="6" t="s">
        <v>65</v>
      </c>
      <c r="E30" s="6" t="s">
        <v>25</v>
      </c>
      <c r="F30" s="6" t="s">
        <v>70</v>
      </c>
      <c r="G30" s="6">
        <v>105</v>
      </c>
      <c r="H30" s="6">
        <v>5</v>
      </c>
      <c r="I30" s="6">
        <v>1</v>
      </c>
      <c r="J30" s="6">
        <v>2</v>
      </c>
      <c r="K30" s="6">
        <v>7</v>
      </c>
      <c r="L30" t="s">
        <v>252</v>
      </c>
      <c r="M30" s="8" t="s">
        <v>31</v>
      </c>
      <c r="N30" s="8" t="s">
        <v>61</v>
      </c>
      <c r="O30" s="9" t="s">
        <v>259</v>
      </c>
      <c r="P30" s="6">
        <v>9.1999999999999993</v>
      </c>
      <c r="Q30" s="6">
        <v>14.4</v>
      </c>
      <c r="R30" s="6">
        <v>37.5</v>
      </c>
      <c r="S30" s="15">
        <f t="shared" si="2"/>
        <v>8.9490909090909092</v>
      </c>
      <c r="T30" s="10">
        <f t="shared" si="0"/>
        <v>7031.0366518827577</v>
      </c>
      <c r="U30" s="10">
        <f t="shared" si="1"/>
        <v>6272.1111970408183</v>
      </c>
      <c r="V30" s="6">
        <v>71.209999999999994</v>
      </c>
      <c r="W30" s="6">
        <v>47.28</v>
      </c>
      <c r="X30" s="7">
        <v>1</v>
      </c>
    </row>
    <row r="31" spans="1:24" x14ac:dyDescent="0.25">
      <c r="A31" s="7">
        <v>2024</v>
      </c>
      <c r="B31" s="6" t="s">
        <v>63</v>
      </c>
      <c r="C31" s="6" t="s">
        <v>64</v>
      </c>
      <c r="D31" s="6" t="s">
        <v>65</v>
      </c>
      <c r="E31" s="6" t="s">
        <v>25</v>
      </c>
      <c r="F31" s="6" t="s">
        <v>71</v>
      </c>
      <c r="G31" s="6">
        <v>106</v>
      </c>
      <c r="H31" s="6">
        <v>6</v>
      </c>
      <c r="I31" s="6">
        <v>1</v>
      </c>
      <c r="J31" s="6">
        <v>2</v>
      </c>
      <c r="K31" s="6">
        <v>2</v>
      </c>
      <c r="L31" t="s">
        <v>252</v>
      </c>
      <c r="M31" s="8" t="s">
        <v>31</v>
      </c>
      <c r="N31" s="8" t="s">
        <v>470</v>
      </c>
      <c r="O31" s="9" t="s">
        <v>259</v>
      </c>
      <c r="P31" s="6">
        <v>10.15</v>
      </c>
      <c r="Q31" s="6">
        <v>14.4</v>
      </c>
      <c r="R31" s="6">
        <v>40.200000000000003</v>
      </c>
      <c r="S31" s="15">
        <f t="shared" si="2"/>
        <v>9.8731818181818181</v>
      </c>
      <c r="T31" s="10">
        <f t="shared" si="0"/>
        <v>7757.0676105010853</v>
      </c>
      <c r="U31" s="10">
        <f t="shared" si="1"/>
        <v>6919.7748532569894</v>
      </c>
      <c r="V31" s="6">
        <v>71.59</v>
      </c>
      <c r="W31" s="6">
        <v>49.56</v>
      </c>
      <c r="X31" s="7">
        <v>1</v>
      </c>
    </row>
    <row r="32" spans="1:24" x14ac:dyDescent="0.25">
      <c r="A32" s="7">
        <v>2024</v>
      </c>
      <c r="B32" s="6" t="s">
        <v>63</v>
      </c>
      <c r="C32" s="6" t="s">
        <v>64</v>
      </c>
      <c r="D32" s="6" t="s">
        <v>65</v>
      </c>
      <c r="E32" s="6" t="s">
        <v>25</v>
      </c>
      <c r="F32" s="6" t="s">
        <v>72</v>
      </c>
      <c r="G32" s="6">
        <v>107</v>
      </c>
      <c r="H32" s="6">
        <v>7</v>
      </c>
      <c r="I32" s="6">
        <v>1</v>
      </c>
      <c r="J32" s="6">
        <v>3</v>
      </c>
      <c r="K32" s="6">
        <v>8</v>
      </c>
      <c r="L32" t="s">
        <v>252</v>
      </c>
      <c r="M32" s="8" t="s">
        <v>33</v>
      </c>
      <c r="N32" s="8" t="s">
        <v>58</v>
      </c>
      <c r="O32" s="9" t="s">
        <v>467</v>
      </c>
      <c r="P32" s="6">
        <v>10.25</v>
      </c>
      <c r="Q32" s="6">
        <v>14.6</v>
      </c>
      <c r="R32" s="6">
        <v>41</v>
      </c>
      <c r="S32" s="15">
        <f t="shared" si="2"/>
        <v>9.9471590909090892</v>
      </c>
      <c r="T32" s="10">
        <f t="shared" si="0"/>
        <v>7815.1893707151203</v>
      </c>
      <c r="U32" s="10">
        <f t="shared" si="1"/>
        <v>6971.6229890411423</v>
      </c>
      <c r="V32" s="6">
        <v>71.14</v>
      </c>
      <c r="W32" s="6">
        <v>48.06</v>
      </c>
      <c r="X32" s="7">
        <v>0</v>
      </c>
    </row>
    <row r="33" spans="1:24" x14ac:dyDescent="0.25">
      <c r="A33" s="7">
        <v>2024</v>
      </c>
      <c r="B33" s="6" t="s">
        <v>63</v>
      </c>
      <c r="C33" s="6" t="s">
        <v>64</v>
      </c>
      <c r="D33" s="6" t="s">
        <v>65</v>
      </c>
      <c r="E33" s="6" t="s">
        <v>25</v>
      </c>
      <c r="F33" s="6" t="s">
        <v>73</v>
      </c>
      <c r="G33" s="6">
        <v>108</v>
      </c>
      <c r="H33" s="6">
        <v>8</v>
      </c>
      <c r="I33" s="6">
        <v>1</v>
      </c>
      <c r="J33" s="6">
        <v>3</v>
      </c>
      <c r="K33" s="6">
        <v>1</v>
      </c>
      <c r="L33" t="s">
        <v>252</v>
      </c>
      <c r="M33" s="8" t="s">
        <v>471</v>
      </c>
      <c r="N33" s="8" t="s">
        <v>471</v>
      </c>
      <c r="O33" s="8" t="s">
        <v>471</v>
      </c>
      <c r="P33" s="6">
        <v>9.56</v>
      </c>
      <c r="Q33" s="6">
        <v>14.3</v>
      </c>
      <c r="R33" s="6">
        <v>40.200000000000003</v>
      </c>
      <c r="S33" s="15">
        <f t="shared" si="2"/>
        <v>9.3101363636363654</v>
      </c>
      <c r="T33" s="10">
        <f t="shared" si="0"/>
        <v>7314.6994115632997</v>
      </c>
      <c r="U33" s="10">
        <f t="shared" si="1"/>
        <v>6525.1555856942905</v>
      </c>
      <c r="V33" s="6">
        <v>71.349999999999994</v>
      </c>
      <c r="W33" s="6">
        <v>48.83</v>
      </c>
      <c r="X33" s="7">
        <v>1</v>
      </c>
    </row>
    <row r="34" spans="1:24" x14ac:dyDescent="0.25">
      <c r="A34" s="7">
        <v>2024</v>
      </c>
      <c r="B34" s="6" t="s">
        <v>63</v>
      </c>
      <c r="C34" s="6" t="s">
        <v>64</v>
      </c>
      <c r="D34" s="6" t="s">
        <v>65</v>
      </c>
      <c r="E34" s="6" t="s">
        <v>25</v>
      </c>
      <c r="F34" s="6" t="s">
        <v>74</v>
      </c>
      <c r="G34" s="6">
        <v>201</v>
      </c>
      <c r="H34" s="6">
        <v>1</v>
      </c>
      <c r="I34" s="6">
        <v>2</v>
      </c>
      <c r="J34" s="6">
        <v>1</v>
      </c>
      <c r="K34" s="6">
        <v>6</v>
      </c>
      <c r="L34" t="s">
        <v>252</v>
      </c>
      <c r="M34" s="8" t="s">
        <v>31</v>
      </c>
      <c r="N34" s="8" t="s">
        <v>59</v>
      </c>
      <c r="O34" s="9" t="s">
        <v>259</v>
      </c>
      <c r="P34" s="6">
        <v>7.43</v>
      </c>
      <c r="Q34" s="6">
        <v>14.1</v>
      </c>
      <c r="R34" s="6">
        <v>33.299999999999997</v>
      </c>
      <c r="S34" s="15">
        <f t="shared" si="2"/>
        <v>7.2526931818181817</v>
      </c>
      <c r="T34" s="10">
        <f t="shared" si="0"/>
        <v>5698.2270159331765</v>
      </c>
      <c r="U34" s="10">
        <f t="shared" si="1"/>
        <v>5083.1641533748234</v>
      </c>
      <c r="V34" s="6">
        <v>64.95</v>
      </c>
      <c r="W34" s="6">
        <v>39.1</v>
      </c>
      <c r="X34" s="7">
        <v>1</v>
      </c>
    </row>
    <row r="35" spans="1:24" x14ac:dyDescent="0.25">
      <c r="A35" s="7">
        <v>2024</v>
      </c>
      <c r="B35" s="6" t="s">
        <v>63</v>
      </c>
      <c r="C35" s="6" t="s">
        <v>64</v>
      </c>
      <c r="D35" s="6" t="s">
        <v>65</v>
      </c>
      <c r="E35" s="6" t="s">
        <v>25</v>
      </c>
      <c r="F35" s="6" t="s">
        <v>75</v>
      </c>
      <c r="G35" s="6">
        <v>202</v>
      </c>
      <c r="H35" s="6">
        <v>2</v>
      </c>
      <c r="I35" s="6">
        <v>2</v>
      </c>
      <c r="J35" s="6">
        <v>1</v>
      </c>
      <c r="K35" s="6">
        <v>2</v>
      </c>
      <c r="L35" t="s">
        <v>252</v>
      </c>
      <c r="M35" s="8" t="s">
        <v>31</v>
      </c>
      <c r="N35" s="8" t="s">
        <v>470</v>
      </c>
      <c r="O35" s="9" t="s">
        <v>259</v>
      </c>
      <c r="P35" s="6">
        <v>6.91</v>
      </c>
      <c r="Q35" s="6">
        <v>15.5</v>
      </c>
      <c r="R35" s="6">
        <v>36.700000000000003</v>
      </c>
      <c r="S35" s="15">
        <f t="shared" si="2"/>
        <v>6.6351704545454542</v>
      </c>
      <c r="T35" s="10">
        <f t="shared" si="0"/>
        <v>5213.0576313631173</v>
      </c>
      <c r="U35" s="10">
        <f t="shared" si="1"/>
        <v>4650.3636319028701</v>
      </c>
      <c r="V35" s="6">
        <v>67.87</v>
      </c>
      <c r="W35" s="6">
        <v>40.43</v>
      </c>
      <c r="X35" s="7">
        <v>1</v>
      </c>
    </row>
    <row r="36" spans="1:24" x14ac:dyDescent="0.25">
      <c r="A36" s="7">
        <v>2024</v>
      </c>
      <c r="B36" s="6" t="s">
        <v>63</v>
      </c>
      <c r="C36" s="6" t="s">
        <v>64</v>
      </c>
      <c r="D36" s="6" t="s">
        <v>65</v>
      </c>
      <c r="E36" s="6" t="s">
        <v>25</v>
      </c>
      <c r="F36" s="6" t="s">
        <v>76</v>
      </c>
      <c r="G36" s="6">
        <v>203</v>
      </c>
      <c r="H36" s="6">
        <v>3</v>
      </c>
      <c r="I36" s="6">
        <v>2</v>
      </c>
      <c r="J36" s="6">
        <v>1</v>
      </c>
      <c r="K36" s="6">
        <v>7</v>
      </c>
      <c r="L36" t="s">
        <v>252</v>
      </c>
      <c r="M36" s="8" t="s">
        <v>31</v>
      </c>
      <c r="N36" s="8" t="s">
        <v>61</v>
      </c>
      <c r="O36" s="9" t="s">
        <v>259</v>
      </c>
      <c r="P36" s="6">
        <v>8.83</v>
      </c>
      <c r="Q36" s="6">
        <v>14.6</v>
      </c>
      <c r="R36" s="6">
        <v>39.200000000000003</v>
      </c>
      <c r="S36" s="15">
        <f t="shared" si="2"/>
        <v>8.5691136363636371</v>
      </c>
      <c r="T36" s="10">
        <f t="shared" si="0"/>
        <v>6732.4997213087345</v>
      </c>
      <c r="U36" s="10">
        <f t="shared" si="1"/>
        <v>6005.7981456812977</v>
      </c>
      <c r="V36" s="6">
        <v>69.8</v>
      </c>
      <c r="W36" s="6">
        <v>46.09</v>
      </c>
      <c r="X36" s="7">
        <v>1</v>
      </c>
    </row>
    <row r="37" spans="1:24" x14ac:dyDescent="0.25">
      <c r="A37" s="7">
        <v>2024</v>
      </c>
      <c r="B37" s="6" t="s">
        <v>63</v>
      </c>
      <c r="C37" s="6" t="s">
        <v>64</v>
      </c>
      <c r="D37" s="6" t="s">
        <v>65</v>
      </c>
      <c r="E37" s="6" t="s">
        <v>25</v>
      </c>
      <c r="F37" s="6" t="s">
        <v>77</v>
      </c>
      <c r="G37" s="6">
        <v>204</v>
      </c>
      <c r="H37" s="6">
        <v>4</v>
      </c>
      <c r="I37" s="6">
        <v>2</v>
      </c>
      <c r="J37" s="6">
        <v>2</v>
      </c>
      <c r="K37" s="6">
        <v>8</v>
      </c>
      <c r="L37" t="s">
        <v>252</v>
      </c>
      <c r="M37" s="8" t="s">
        <v>33</v>
      </c>
      <c r="N37" s="8" t="s">
        <v>58</v>
      </c>
      <c r="O37" s="9" t="s">
        <v>467</v>
      </c>
      <c r="P37" s="6">
        <v>9.0500000000000007</v>
      </c>
      <c r="Q37" s="6">
        <v>14.7</v>
      </c>
      <c r="R37" s="6">
        <v>39.6</v>
      </c>
      <c r="S37" s="15">
        <f t="shared" si="2"/>
        <v>8.7723295454545465</v>
      </c>
      <c r="T37" s="10">
        <f t="shared" si="0"/>
        <v>6892.1604644589015</v>
      </c>
      <c r="U37" s="10">
        <f t="shared" si="1"/>
        <v>6148.2252136118659</v>
      </c>
      <c r="V37" s="6">
        <v>69.69</v>
      </c>
      <c r="W37" s="6">
        <v>46.3</v>
      </c>
      <c r="X37" s="7">
        <v>0</v>
      </c>
    </row>
    <row r="38" spans="1:24" x14ac:dyDescent="0.25">
      <c r="A38" s="7">
        <v>2024</v>
      </c>
      <c r="B38" s="6" t="s">
        <v>63</v>
      </c>
      <c r="C38" s="6" t="s">
        <v>64</v>
      </c>
      <c r="D38" s="6" t="s">
        <v>65</v>
      </c>
      <c r="E38" s="6" t="s">
        <v>25</v>
      </c>
      <c r="F38" s="6" t="s">
        <v>78</v>
      </c>
      <c r="G38" s="6">
        <v>205</v>
      </c>
      <c r="H38" s="6">
        <v>5</v>
      </c>
      <c r="I38" s="6">
        <v>2</v>
      </c>
      <c r="J38" s="6">
        <v>2</v>
      </c>
      <c r="K38" s="6">
        <v>6</v>
      </c>
      <c r="L38" t="s">
        <v>252</v>
      </c>
      <c r="M38" s="8" t="s">
        <v>31</v>
      </c>
      <c r="N38" s="8" t="s">
        <v>59</v>
      </c>
      <c r="O38" s="9" t="s">
        <v>259</v>
      </c>
      <c r="P38" s="6">
        <v>9.67</v>
      </c>
      <c r="Q38" s="6">
        <v>14.4</v>
      </c>
      <c r="R38" s="6">
        <v>39</v>
      </c>
      <c r="S38" s="15">
        <f t="shared" si="2"/>
        <v>9.4062727272727269</v>
      </c>
      <c r="T38" s="10">
        <f t="shared" si="0"/>
        <v>7390.2309156202464</v>
      </c>
      <c r="U38" s="10">
        <f t="shared" si="1"/>
        <v>6592.5342690635562</v>
      </c>
      <c r="V38" s="6">
        <v>71.09</v>
      </c>
      <c r="W38" s="6">
        <v>50.58</v>
      </c>
      <c r="X38" s="7">
        <v>0</v>
      </c>
    </row>
    <row r="39" spans="1:24" x14ac:dyDescent="0.25">
      <c r="A39" s="7">
        <v>2024</v>
      </c>
      <c r="B39" s="6" t="s">
        <v>63</v>
      </c>
      <c r="C39" s="6" t="s">
        <v>64</v>
      </c>
      <c r="D39" s="6" t="s">
        <v>65</v>
      </c>
      <c r="E39" s="6" t="s">
        <v>25</v>
      </c>
      <c r="F39" s="6" t="s">
        <v>79</v>
      </c>
      <c r="G39" s="6">
        <v>206</v>
      </c>
      <c r="H39" s="6">
        <v>6</v>
      </c>
      <c r="I39" s="6">
        <v>2</v>
      </c>
      <c r="J39" s="6">
        <v>3</v>
      </c>
      <c r="K39" s="6">
        <v>3</v>
      </c>
      <c r="L39" t="s">
        <v>252</v>
      </c>
      <c r="M39" s="8" t="s">
        <v>31</v>
      </c>
      <c r="N39" s="8" t="s">
        <v>58</v>
      </c>
      <c r="O39" s="9" t="s">
        <v>259</v>
      </c>
      <c r="P39" s="6">
        <v>10.17</v>
      </c>
      <c r="Q39" s="6">
        <v>14.6</v>
      </c>
      <c r="R39" s="6">
        <v>40.4</v>
      </c>
      <c r="S39" s="15">
        <f t="shared" si="2"/>
        <v>9.8695227272727255</v>
      </c>
      <c r="T39" s="10">
        <f t="shared" si="0"/>
        <v>7754.1927707485629</v>
      </c>
      <c r="U39" s="10">
        <f t="shared" si="1"/>
        <v>6917.2103218096008</v>
      </c>
      <c r="V39" s="6">
        <v>71.94</v>
      </c>
      <c r="W39" s="6">
        <v>50.32</v>
      </c>
      <c r="X39" s="7">
        <v>1</v>
      </c>
    </row>
    <row r="40" spans="1:24" x14ac:dyDescent="0.25">
      <c r="A40" s="7">
        <v>2024</v>
      </c>
      <c r="B40" s="6" t="s">
        <v>63</v>
      </c>
      <c r="C40" s="6" t="s">
        <v>64</v>
      </c>
      <c r="D40" s="6" t="s">
        <v>65</v>
      </c>
      <c r="E40" s="6" t="s">
        <v>25</v>
      </c>
      <c r="F40" s="6" t="s">
        <v>80</v>
      </c>
      <c r="G40" s="6">
        <v>207</v>
      </c>
      <c r="H40" s="6">
        <v>7</v>
      </c>
      <c r="I40" s="6">
        <v>2</v>
      </c>
      <c r="J40" s="6">
        <v>3</v>
      </c>
      <c r="K40" s="6">
        <v>6</v>
      </c>
      <c r="L40" t="s">
        <v>252</v>
      </c>
      <c r="M40" s="8" t="s">
        <v>31</v>
      </c>
      <c r="N40" s="8" t="s">
        <v>59</v>
      </c>
      <c r="O40" s="9" t="s">
        <v>259</v>
      </c>
      <c r="P40" s="6">
        <v>9.61</v>
      </c>
      <c r="Q40" s="6">
        <v>14.7</v>
      </c>
      <c r="R40" s="6">
        <v>40.6</v>
      </c>
      <c r="S40" s="15">
        <f t="shared" si="2"/>
        <v>9.315147727272727</v>
      </c>
      <c r="T40" s="10">
        <f t="shared" si="0"/>
        <v>7318.6366920939254</v>
      </c>
      <c r="U40" s="10">
        <f t="shared" si="1"/>
        <v>6528.6678787635374</v>
      </c>
      <c r="V40" s="6">
        <v>71.12</v>
      </c>
      <c r="W40" s="6">
        <v>50.74</v>
      </c>
      <c r="X40" s="7">
        <v>0</v>
      </c>
    </row>
    <row r="41" spans="1:24" x14ac:dyDescent="0.25">
      <c r="A41" s="7">
        <v>2024</v>
      </c>
      <c r="B41" s="6" t="s">
        <v>63</v>
      </c>
      <c r="C41" s="6" t="s">
        <v>64</v>
      </c>
      <c r="D41" s="6" t="s">
        <v>65</v>
      </c>
      <c r="E41" s="6" t="s">
        <v>25</v>
      </c>
      <c r="F41" s="6" t="s">
        <v>81</v>
      </c>
      <c r="G41" s="6">
        <v>208</v>
      </c>
      <c r="H41" s="6">
        <v>8</v>
      </c>
      <c r="I41" s="6">
        <v>2</v>
      </c>
      <c r="J41" s="6">
        <v>3</v>
      </c>
      <c r="K41" s="6">
        <v>2</v>
      </c>
      <c r="L41" t="s">
        <v>252</v>
      </c>
      <c r="M41" s="8" t="s">
        <v>31</v>
      </c>
      <c r="N41" s="8" t="s">
        <v>470</v>
      </c>
      <c r="O41" s="9" t="s">
        <v>259</v>
      </c>
      <c r="P41" s="6">
        <v>8.7200000000000006</v>
      </c>
      <c r="Q41" s="6">
        <v>14.4</v>
      </c>
      <c r="R41" s="6">
        <v>40.700000000000003</v>
      </c>
      <c r="S41" s="15">
        <f t="shared" si="2"/>
        <v>8.4821818181818198</v>
      </c>
      <c r="T41" s="10">
        <f t="shared" si="0"/>
        <v>6664.1999570019198</v>
      </c>
      <c r="U41" s="10">
        <f t="shared" si="1"/>
        <v>5944.8706128473859</v>
      </c>
      <c r="V41" s="6">
        <v>71.69</v>
      </c>
      <c r="W41" s="6">
        <v>49.62</v>
      </c>
      <c r="X41" s="7">
        <v>1</v>
      </c>
    </row>
    <row r="42" spans="1:24" x14ac:dyDescent="0.25">
      <c r="A42" s="7">
        <v>2024</v>
      </c>
      <c r="B42" s="6" t="s">
        <v>63</v>
      </c>
      <c r="C42" s="6" t="s">
        <v>64</v>
      </c>
      <c r="D42" s="6" t="s">
        <v>65</v>
      </c>
      <c r="E42" s="6" t="s">
        <v>25</v>
      </c>
      <c r="F42" s="6" t="s">
        <v>82</v>
      </c>
      <c r="G42" s="6">
        <v>301</v>
      </c>
      <c r="H42" s="6">
        <v>1</v>
      </c>
      <c r="I42" s="6">
        <v>3</v>
      </c>
      <c r="J42" s="6">
        <v>1</v>
      </c>
      <c r="K42" s="6">
        <v>5</v>
      </c>
      <c r="L42" t="s">
        <v>252</v>
      </c>
      <c r="M42" s="8" t="s">
        <v>31</v>
      </c>
      <c r="N42" s="8" t="s">
        <v>62</v>
      </c>
      <c r="O42" s="9" t="s">
        <v>259</v>
      </c>
      <c r="P42" s="6">
        <v>6.8</v>
      </c>
      <c r="Q42" s="6">
        <v>15</v>
      </c>
      <c r="R42" s="6">
        <v>35.700000000000003</v>
      </c>
      <c r="S42" s="15">
        <f t="shared" si="2"/>
        <v>6.5681818181818175</v>
      </c>
      <c r="T42" s="10">
        <f t="shared" si="0"/>
        <v>5160.4266365149251</v>
      </c>
      <c r="U42" s="10">
        <f t="shared" si="1"/>
        <v>4603.4135918955617</v>
      </c>
      <c r="V42" s="6">
        <v>65.52</v>
      </c>
      <c r="W42" s="6">
        <v>39.619999999999997</v>
      </c>
      <c r="X42" s="7">
        <v>1</v>
      </c>
    </row>
    <row r="43" spans="1:24" x14ac:dyDescent="0.25">
      <c r="A43" s="7">
        <v>2024</v>
      </c>
      <c r="B43" s="6" t="s">
        <v>63</v>
      </c>
      <c r="C43" s="6" t="s">
        <v>64</v>
      </c>
      <c r="D43" s="6" t="s">
        <v>65</v>
      </c>
      <c r="E43" s="6" t="s">
        <v>25</v>
      </c>
      <c r="F43" s="6" t="s">
        <v>83</v>
      </c>
      <c r="G43" s="6">
        <v>302</v>
      </c>
      <c r="H43" s="6">
        <v>2</v>
      </c>
      <c r="I43" s="6">
        <v>3</v>
      </c>
      <c r="J43" s="6">
        <v>1</v>
      </c>
      <c r="K43" s="6">
        <v>3</v>
      </c>
      <c r="L43" t="s">
        <v>252</v>
      </c>
      <c r="M43" s="8" t="s">
        <v>31</v>
      </c>
      <c r="N43" s="8" t="s">
        <v>58</v>
      </c>
      <c r="O43" s="9" t="s">
        <v>259</v>
      </c>
      <c r="P43" s="6">
        <v>7.51</v>
      </c>
      <c r="Q43" s="6">
        <v>15</v>
      </c>
      <c r="R43" s="6">
        <v>35.6</v>
      </c>
      <c r="S43" s="15">
        <f t="shared" si="2"/>
        <v>7.2539772727272727</v>
      </c>
      <c r="T43" s="10">
        <f t="shared" si="0"/>
        <v>5699.2358882686895</v>
      </c>
      <c r="U43" s="10">
        <f t="shared" si="1"/>
        <v>5084.0641286964228</v>
      </c>
      <c r="V43" s="6">
        <v>67.66</v>
      </c>
      <c r="W43" s="6">
        <v>42.11</v>
      </c>
      <c r="X43" s="7">
        <v>1</v>
      </c>
    </row>
    <row r="44" spans="1:24" x14ac:dyDescent="0.25">
      <c r="A44" s="7">
        <v>2024</v>
      </c>
      <c r="B44" s="6" t="s">
        <v>63</v>
      </c>
      <c r="C44" s="6" t="s">
        <v>64</v>
      </c>
      <c r="D44" s="6" t="s">
        <v>65</v>
      </c>
      <c r="E44" s="6" t="s">
        <v>25</v>
      </c>
      <c r="F44" s="6" t="s">
        <v>84</v>
      </c>
      <c r="G44" s="6">
        <v>303</v>
      </c>
      <c r="H44" s="6">
        <v>3</v>
      </c>
      <c r="I44" s="6">
        <v>3</v>
      </c>
      <c r="J44" s="6">
        <v>2</v>
      </c>
      <c r="K44" s="6">
        <v>3</v>
      </c>
      <c r="L44" t="s">
        <v>252</v>
      </c>
      <c r="M44" s="8" t="s">
        <v>31</v>
      </c>
      <c r="N44" s="8" t="s">
        <v>58</v>
      </c>
      <c r="O44" s="9" t="s">
        <v>259</v>
      </c>
      <c r="P44" s="6">
        <v>8.42</v>
      </c>
      <c r="Q44" s="6">
        <v>14.5</v>
      </c>
      <c r="R44" s="6">
        <v>37.9</v>
      </c>
      <c r="S44" s="15">
        <f t="shared" si="2"/>
        <v>8.1807954545454535</v>
      </c>
      <c r="T44" s="10">
        <f t="shared" si="0"/>
        <v>6427.4095845907596</v>
      </c>
      <c r="U44" s="10">
        <f t="shared" si="1"/>
        <v>5733.639236923068</v>
      </c>
      <c r="V44" s="6">
        <v>69.38</v>
      </c>
      <c r="W44" s="6">
        <v>45.72</v>
      </c>
      <c r="X44" s="7">
        <v>0</v>
      </c>
    </row>
    <row r="45" spans="1:24" x14ac:dyDescent="0.25">
      <c r="A45" s="7">
        <v>2024</v>
      </c>
      <c r="B45" s="6" t="s">
        <v>63</v>
      </c>
      <c r="C45" s="6" t="s">
        <v>64</v>
      </c>
      <c r="D45" s="6" t="s">
        <v>65</v>
      </c>
      <c r="E45" s="6" t="s">
        <v>25</v>
      </c>
      <c r="F45" s="6" t="s">
        <v>85</v>
      </c>
      <c r="G45" s="6">
        <v>304</v>
      </c>
      <c r="H45" s="6">
        <v>4</v>
      </c>
      <c r="I45" s="6">
        <v>3</v>
      </c>
      <c r="J45" s="6">
        <v>2</v>
      </c>
      <c r="K45" s="6">
        <v>5</v>
      </c>
      <c r="L45" t="s">
        <v>252</v>
      </c>
      <c r="M45" s="8" t="s">
        <v>31</v>
      </c>
      <c r="N45" s="8" t="s">
        <v>62</v>
      </c>
      <c r="O45" s="9" t="s">
        <v>259</v>
      </c>
      <c r="P45" s="6">
        <v>8.44</v>
      </c>
      <c r="Q45" s="6">
        <v>14.7</v>
      </c>
      <c r="R45" s="6">
        <v>39.5</v>
      </c>
      <c r="S45" s="15">
        <f t="shared" si="2"/>
        <v>8.181045454545453</v>
      </c>
      <c r="T45" s="10">
        <f t="shared" si="0"/>
        <v>6427.6060022136035</v>
      </c>
      <c r="U45" s="10">
        <f t="shared" si="1"/>
        <v>5733.8144533573623</v>
      </c>
      <c r="V45" s="6">
        <v>69.790000000000006</v>
      </c>
      <c r="W45" s="6">
        <v>46.91</v>
      </c>
      <c r="X45" s="7">
        <v>1</v>
      </c>
    </row>
    <row r="46" spans="1:24" x14ac:dyDescent="0.25">
      <c r="A46" s="7">
        <v>2024</v>
      </c>
      <c r="B46" s="6" t="s">
        <v>63</v>
      </c>
      <c r="C46" s="6" t="s">
        <v>64</v>
      </c>
      <c r="D46" s="6" t="s">
        <v>65</v>
      </c>
      <c r="E46" s="6" t="s">
        <v>25</v>
      </c>
      <c r="F46" s="6" t="s">
        <v>86</v>
      </c>
      <c r="G46" s="6">
        <v>305</v>
      </c>
      <c r="H46" s="6">
        <v>5</v>
      </c>
      <c r="I46" s="6">
        <v>3</v>
      </c>
      <c r="J46" s="6">
        <v>2</v>
      </c>
      <c r="K46" s="6">
        <v>4</v>
      </c>
      <c r="L46" t="s">
        <v>252</v>
      </c>
      <c r="M46" s="8" t="s">
        <v>31</v>
      </c>
      <c r="N46" s="8" t="s">
        <v>60</v>
      </c>
      <c r="O46" s="9" t="s">
        <v>259</v>
      </c>
      <c r="P46" s="6">
        <v>8.81</v>
      </c>
      <c r="Q46" s="6">
        <v>14.6</v>
      </c>
      <c r="R46" s="6">
        <v>39.5</v>
      </c>
      <c r="S46" s="15">
        <f t="shared" si="2"/>
        <v>8.5497045454545457</v>
      </c>
      <c r="T46" s="10">
        <f t="shared" si="0"/>
        <v>6717.250571317094</v>
      </c>
      <c r="U46" s="10">
        <f t="shared" si="1"/>
        <v>5992.1949788734109</v>
      </c>
      <c r="V46" s="6">
        <v>69.97</v>
      </c>
      <c r="W46" s="6">
        <v>46.96</v>
      </c>
      <c r="X46" s="7">
        <v>0</v>
      </c>
    </row>
    <row r="47" spans="1:24" x14ac:dyDescent="0.25">
      <c r="A47" s="7">
        <v>2024</v>
      </c>
      <c r="B47" s="6" t="s">
        <v>63</v>
      </c>
      <c r="C47" s="6" t="s">
        <v>64</v>
      </c>
      <c r="D47" s="6" t="s">
        <v>65</v>
      </c>
      <c r="E47" s="6" t="s">
        <v>25</v>
      </c>
      <c r="F47" s="6" t="s">
        <v>87</v>
      </c>
      <c r="G47" s="6">
        <v>306</v>
      </c>
      <c r="H47" s="6">
        <v>6</v>
      </c>
      <c r="I47" s="6">
        <v>3</v>
      </c>
      <c r="J47" s="6">
        <v>3</v>
      </c>
      <c r="K47" s="6">
        <v>4</v>
      </c>
      <c r="L47" t="s">
        <v>252</v>
      </c>
      <c r="M47" s="8" t="s">
        <v>31</v>
      </c>
      <c r="N47" s="8" t="s">
        <v>60</v>
      </c>
      <c r="O47" s="9" t="s">
        <v>259</v>
      </c>
      <c r="P47" s="6">
        <v>9.42</v>
      </c>
      <c r="Q47" s="6">
        <v>14.4</v>
      </c>
      <c r="R47" s="6">
        <v>39.9</v>
      </c>
      <c r="S47" s="15">
        <f t="shared" si="2"/>
        <v>9.1630909090909096</v>
      </c>
      <c r="T47" s="10">
        <f t="shared" si="0"/>
        <v>7199.1701370364763</v>
      </c>
      <c r="U47" s="10">
        <f t="shared" si="1"/>
        <v>6422.0964647961428</v>
      </c>
      <c r="V47" s="6">
        <v>71.599999999999994</v>
      </c>
      <c r="W47" s="6">
        <v>52.1</v>
      </c>
      <c r="X47" s="7">
        <v>1</v>
      </c>
    </row>
    <row r="48" spans="1:24" x14ac:dyDescent="0.25">
      <c r="A48" s="7">
        <v>2024</v>
      </c>
      <c r="B48" s="6" t="s">
        <v>63</v>
      </c>
      <c r="C48" s="6" t="s">
        <v>64</v>
      </c>
      <c r="D48" s="6" t="s">
        <v>65</v>
      </c>
      <c r="E48" s="6" t="s">
        <v>25</v>
      </c>
      <c r="F48" s="6" t="s">
        <v>88</v>
      </c>
      <c r="G48" s="6">
        <v>307</v>
      </c>
      <c r="H48" s="6">
        <v>7</v>
      </c>
      <c r="I48" s="6">
        <v>3</v>
      </c>
      <c r="J48" s="6">
        <v>3</v>
      </c>
      <c r="K48" s="6">
        <v>5</v>
      </c>
      <c r="L48" t="s">
        <v>252</v>
      </c>
      <c r="M48" s="8" t="s">
        <v>31</v>
      </c>
      <c r="N48" s="8" t="s">
        <v>62</v>
      </c>
      <c r="O48" s="9" t="s">
        <v>259</v>
      </c>
      <c r="P48" s="6">
        <v>8.8699999999999992</v>
      </c>
      <c r="Q48" s="6">
        <v>14.5</v>
      </c>
      <c r="R48" s="6">
        <v>41.3</v>
      </c>
      <c r="S48" s="15">
        <f t="shared" si="2"/>
        <v>8.6180113636363629</v>
      </c>
      <c r="T48" s="10">
        <f t="shared" si="0"/>
        <v>6770.9172227220952</v>
      </c>
      <c r="U48" s="10">
        <f t="shared" si="1"/>
        <v>6040.0688873524487</v>
      </c>
      <c r="V48" s="6">
        <v>71.88</v>
      </c>
      <c r="W48" s="6">
        <v>53.09</v>
      </c>
      <c r="X48" s="7">
        <v>1</v>
      </c>
    </row>
    <row r="49" spans="1:24" x14ac:dyDescent="0.25">
      <c r="A49" s="7">
        <v>2024</v>
      </c>
      <c r="B49" s="6" t="s">
        <v>63</v>
      </c>
      <c r="C49" s="6" t="s">
        <v>64</v>
      </c>
      <c r="D49" s="6" t="s">
        <v>65</v>
      </c>
      <c r="E49" s="6" t="s">
        <v>25</v>
      </c>
      <c r="F49" s="6" t="s">
        <v>89</v>
      </c>
      <c r="G49" s="6">
        <v>308</v>
      </c>
      <c r="H49" s="6">
        <v>8</v>
      </c>
      <c r="I49" s="6">
        <v>3</v>
      </c>
      <c r="J49" s="6">
        <v>3</v>
      </c>
      <c r="K49" s="6">
        <v>7</v>
      </c>
      <c r="L49" t="s">
        <v>252</v>
      </c>
      <c r="M49" s="8" t="s">
        <v>31</v>
      </c>
      <c r="N49" s="8" t="s">
        <v>61</v>
      </c>
      <c r="O49" s="9" t="s">
        <v>259</v>
      </c>
      <c r="P49" s="6">
        <v>8.52</v>
      </c>
      <c r="Q49" s="6">
        <v>14.4</v>
      </c>
      <c r="R49" s="6">
        <v>40.6</v>
      </c>
      <c r="S49" s="15">
        <f t="shared" si="2"/>
        <v>8.2876363636363628</v>
      </c>
      <c r="T49" s="10">
        <f t="shared" si="0"/>
        <v>6511.3513341349008</v>
      </c>
      <c r="U49" s="10">
        <f t="shared" si="1"/>
        <v>5808.5203694334532</v>
      </c>
      <c r="V49" s="6">
        <v>71.41</v>
      </c>
      <c r="W49" s="6">
        <v>52.83</v>
      </c>
      <c r="X49" s="7">
        <v>1</v>
      </c>
    </row>
    <row r="50" spans="1:24" x14ac:dyDescent="0.25">
      <c r="A50" s="7">
        <v>2024</v>
      </c>
      <c r="B50" s="6" t="s">
        <v>90</v>
      </c>
      <c r="C50" s="6" t="s">
        <v>91</v>
      </c>
      <c r="D50" s="6" t="s">
        <v>92</v>
      </c>
      <c r="E50" s="6" t="s">
        <v>26</v>
      </c>
      <c r="F50" s="6" t="s">
        <v>93</v>
      </c>
      <c r="G50" s="6">
        <v>101</v>
      </c>
      <c r="H50" s="6">
        <v>1</v>
      </c>
      <c r="I50" s="6">
        <v>1</v>
      </c>
      <c r="J50" s="6">
        <v>1</v>
      </c>
      <c r="K50" s="6">
        <v>5</v>
      </c>
      <c r="L50" t="s">
        <v>252</v>
      </c>
      <c r="M50" s="8" t="s">
        <v>31</v>
      </c>
      <c r="N50" s="8" t="s">
        <v>62</v>
      </c>
      <c r="O50" s="9" t="s">
        <v>259</v>
      </c>
      <c r="P50" s="7">
        <v>7.53</v>
      </c>
      <c r="Q50" s="7">
        <v>13.2</v>
      </c>
      <c r="R50" s="7">
        <v>43.8</v>
      </c>
      <c r="S50" s="15">
        <f t="shared" si="2"/>
        <v>7.4273181818181815</v>
      </c>
      <c r="T50" s="10">
        <f t="shared" si="0"/>
        <v>5835.4247254891025</v>
      </c>
      <c r="U50" s="10">
        <f t="shared" si="1"/>
        <v>5205.5528327289048</v>
      </c>
      <c r="V50" s="6">
        <v>75.59</v>
      </c>
      <c r="W50" s="6">
        <v>65.599999999999994</v>
      </c>
      <c r="X50" s="7"/>
    </row>
    <row r="51" spans="1:24" x14ac:dyDescent="0.25">
      <c r="A51" s="7">
        <v>2024</v>
      </c>
      <c r="B51" s="6" t="s">
        <v>90</v>
      </c>
      <c r="C51" s="6" t="s">
        <v>91</v>
      </c>
      <c r="D51" s="6" t="s">
        <v>92</v>
      </c>
      <c r="E51" s="6" t="s">
        <v>26</v>
      </c>
      <c r="F51" s="6" t="s">
        <v>94</v>
      </c>
      <c r="G51" s="6">
        <v>102</v>
      </c>
      <c r="H51" s="6">
        <v>2</v>
      </c>
      <c r="I51" s="6">
        <v>1</v>
      </c>
      <c r="J51" s="6">
        <v>1</v>
      </c>
      <c r="K51" s="6">
        <v>2</v>
      </c>
      <c r="L51" t="s">
        <v>252</v>
      </c>
      <c r="M51" s="8" t="s">
        <v>31</v>
      </c>
      <c r="N51" s="8" t="s">
        <v>470</v>
      </c>
      <c r="O51" s="9" t="s">
        <v>259</v>
      </c>
      <c r="P51" s="7">
        <v>9.8800000000000008</v>
      </c>
      <c r="Q51" s="7">
        <v>15.5</v>
      </c>
      <c r="R51" s="7">
        <v>43.2</v>
      </c>
      <c r="S51" s="15">
        <f t="shared" si="2"/>
        <v>9.4870454545454557</v>
      </c>
      <c r="T51" s="10">
        <f t="shared" si="0"/>
        <v>7453.6916639461087</v>
      </c>
      <c r="U51" s="10">
        <f t="shared" si="1"/>
        <v>6649.1451061071439</v>
      </c>
      <c r="V51" s="6">
        <v>75.92</v>
      </c>
      <c r="W51" s="6">
        <v>65.849999999999994</v>
      </c>
      <c r="X51" s="7"/>
    </row>
    <row r="52" spans="1:24" x14ac:dyDescent="0.25">
      <c r="A52" s="7">
        <v>2024</v>
      </c>
      <c r="B52" s="6" t="s">
        <v>90</v>
      </c>
      <c r="C52" s="6" t="s">
        <v>91</v>
      </c>
      <c r="D52" s="6" t="s">
        <v>92</v>
      </c>
      <c r="E52" s="6" t="s">
        <v>26</v>
      </c>
      <c r="F52" s="6" t="s">
        <v>95</v>
      </c>
      <c r="G52" s="6">
        <v>103</v>
      </c>
      <c r="H52" s="6">
        <v>3</v>
      </c>
      <c r="I52" s="6">
        <v>1</v>
      </c>
      <c r="J52" s="6">
        <v>2</v>
      </c>
      <c r="K52" s="6">
        <v>5</v>
      </c>
      <c r="L52" t="s">
        <v>252</v>
      </c>
      <c r="M52" s="8" t="s">
        <v>31</v>
      </c>
      <c r="N52" s="8" t="s">
        <v>62</v>
      </c>
      <c r="O52" s="9" t="s">
        <v>259</v>
      </c>
      <c r="P52" s="7">
        <v>9.2799999999999994</v>
      </c>
      <c r="Q52" s="7">
        <v>15.7</v>
      </c>
      <c r="R52" s="7">
        <v>43</v>
      </c>
      <c r="S52" s="15">
        <f t="shared" si="2"/>
        <v>8.8898181818181801</v>
      </c>
      <c r="T52" s="10">
        <f t="shared" si="0"/>
        <v>6984.4678191214043</v>
      </c>
      <c r="U52" s="10">
        <f t="shared" si="1"/>
        <v>6230.5689733464806</v>
      </c>
      <c r="V52" s="6">
        <v>74.42</v>
      </c>
      <c r="W52" s="6">
        <v>62.57</v>
      </c>
      <c r="X52" s="7"/>
    </row>
    <row r="53" spans="1:24" x14ac:dyDescent="0.25">
      <c r="A53" s="7">
        <v>2024</v>
      </c>
      <c r="B53" s="6" t="s">
        <v>90</v>
      </c>
      <c r="C53" s="6" t="s">
        <v>91</v>
      </c>
      <c r="D53" s="6" t="s">
        <v>92</v>
      </c>
      <c r="E53" s="6" t="s">
        <v>26</v>
      </c>
      <c r="F53" s="6" t="s">
        <v>96</v>
      </c>
      <c r="G53" s="6">
        <v>104</v>
      </c>
      <c r="H53" s="6">
        <v>4</v>
      </c>
      <c r="I53" s="6">
        <v>1</v>
      </c>
      <c r="J53" s="6">
        <v>2</v>
      </c>
      <c r="K53" s="6">
        <v>2</v>
      </c>
      <c r="L53" t="s">
        <v>252</v>
      </c>
      <c r="M53" s="8" t="s">
        <v>31</v>
      </c>
      <c r="N53" s="8" t="s">
        <v>470</v>
      </c>
      <c r="O53" s="9" t="s">
        <v>259</v>
      </c>
      <c r="P53" s="7">
        <v>10.17</v>
      </c>
      <c r="Q53" s="7">
        <v>16.399999999999999</v>
      </c>
      <c r="R53" s="7">
        <v>42.5</v>
      </c>
      <c r="S53" s="15">
        <f t="shared" si="2"/>
        <v>9.661500000000002</v>
      </c>
      <c r="T53" s="10">
        <f t="shared" si="0"/>
        <v>7590.7554523955514</v>
      </c>
      <c r="U53" s="10">
        <f t="shared" si="1"/>
        <v>6771.4143197105723</v>
      </c>
      <c r="V53" s="6">
        <v>74.540000000000006</v>
      </c>
      <c r="W53" s="6">
        <v>62.33</v>
      </c>
      <c r="X53" s="7"/>
    </row>
    <row r="54" spans="1:24" x14ac:dyDescent="0.25">
      <c r="A54" s="7">
        <v>2024</v>
      </c>
      <c r="B54" s="6" t="s">
        <v>90</v>
      </c>
      <c r="C54" s="6" t="s">
        <v>91</v>
      </c>
      <c r="D54" s="6" t="s">
        <v>92</v>
      </c>
      <c r="E54" s="6" t="s">
        <v>26</v>
      </c>
      <c r="F54" s="6" t="s">
        <v>97</v>
      </c>
      <c r="G54" s="6">
        <v>105</v>
      </c>
      <c r="H54" s="6">
        <v>5</v>
      </c>
      <c r="I54" s="6">
        <v>1</v>
      </c>
      <c r="J54" s="6">
        <v>3</v>
      </c>
      <c r="K54" s="6">
        <v>6</v>
      </c>
      <c r="L54" t="s">
        <v>252</v>
      </c>
      <c r="M54" s="8" t="s">
        <v>31</v>
      </c>
      <c r="N54" s="8" t="s">
        <v>59</v>
      </c>
      <c r="O54" s="9" t="s">
        <v>259</v>
      </c>
      <c r="P54" s="7">
        <v>8.66</v>
      </c>
      <c r="Q54" s="7">
        <v>17.2</v>
      </c>
      <c r="R54" s="7">
        <v>41.9</v>
      </c>
      <c r="S54" s="15">
        <f t="shared" si="2"/>
        <v>8.1482727272727278</v>
      </c>
      <c r="T54" s="10">
        <f t="shared" si="0"/>
        <v>6401.8574374736236</v>
      </c>
      <c r="U54" s="10">
        <f t="shared" si="1"/>
        <v>5710.8451716981481</v>
      </c>
      <c r="V54" s="6">
        <v>73.56</v>
      </c>
      <c r="W54" s="6">
        <v>55.52</v>
      </c>
      <c r="X54" s="7"/>
    </row>
    <row r="55" spans="1:24" x14ac:dyDescent="0.25">
      <c r="A55" s="7">
        <v>2024</v>
      </c>
      <c r="B55" s="6" t="s">
        <v>90</v>
      </c>
      <c r="C55" s="6" t="s">
        <v>91</v>
      </c>
      <c r="D55" s="6" t="s">
        <v>92</v>
      </c>
      <c r="E55" s="6" t="s">
        <v>26</v>
      </c>
      <c r="F55" s="6" t="s">
        <v>98</v>
      </c>
      <c r="G55" s="6">
        <v>106</v>
      </c>
      <c r="H55" s="6">
        <v>6</v>
      </c>
      <c r="I55" s="6">
        <v>1</v>
      </c>
      <c r="J55" s="6">
        <v>3</v>
      </c>
      <c r="K55" s="6">
        <v>8</v>
      </c>
      <c r="L55" t="s">
        <v>252</v>
      </c>
      <c r="M55" s="8" t="s">
        <v>33</v>
      </c>
      <c r="N55" s="8" t="s">
        <v>58</v>
      </c>
      <c r="O55" s="9" t="s">
        <v>467</v>
      </c>
      <c r="P55" s="7">
        <v>10.45</v>
      </c>
      <c r="Q55" s="7">
        <v>14.6</v>
      </c>
      <c r="R55" s="7">
        <v>43.7</v>
      </c>
      <c r="S55" s="15">
        <f t="shared" si="2"/>
        <v>10.141249999999999</v>
      </c>
      <c r="T55" s="10">
        <f t="shared" si="0"/>
        <v>7967.6808706315142</v>
      </c>
      <c r="U55" s="10">
        <f t="shared" si="1"/>
        <v>7107.6546571199951</v>
      </c>
      <c r="V55" s="6">
        <v>74.05</v>
      </c>
      <c r="W55" s="6">
        <v>59.25</v>
      </c>
      <c r="X55" s="7"/>
    </row>
    <row r="56" spans="1:24" x14ac:dyDescent="0.25">
      <c r="A56" s="7">
        <v>2024</v>
      </c>
      <c r="B56" s="6" t="s">
        <v>90</v>
      </c>
      <c r="C56" s="6" t="s">
        <v>91</v>
      </c>
      <c r="D56" s="6" t="s">
        <v>92</v>
      </c>
      <c r="E56" s="6" t="s">
        <v>26</v>
      </c>
      <c r="F56" s="6" t="s">
        <v>99</v>
      </c>
      <c r="G56" s="6">
        <v>107</v>
      </c>
      <c r="H56" s="6">
        <v>7</v>
      </c>
      <c r="I56" s="6">
        <v>1</v>
      </c>
      <c r="J56" s="6">
        <v>4</v>
      </c>
      <c r="K56" s="6">
        <v>7</v>
      </c>
      <c r="L56" t="s">
        <v>252</v>
      </c>
      <c r="M56" s="8" t="s">
        <v>31</v>
      </c>
      <c r="N56" s="8" t="s">
        <v>61</v>
      </c>
      <c r="O56" s="9" t="s">
        <v>259</v>
      </c>
      <c r="P56" s="7">
        <v>7.75</v>
      </c>
      <c r="Q56" s="7">
        <v>13.7</v>
      </c>
      <c r="R56" s="7">
        <v>43.8</v>
      </c>
      <c r="S56" s="15">
        <f t="shared" si="2"/>
        <v>7.6002840909090912</v>
      </c>
      <c r="T56" s="10">
        <f t="shared" si="0"/>
        <v>5971.3189362752519</v>
      </c>
      <c r="U56" s="10">
        <f t="shared" si="1"/>
        <v>5326.7787121099482</v>
      </c>
      <c r="V56" s="6">
        <v>72.86</v>
      </c>
      <c r="W56" s="6">
        <v>51.34</v>
      </c>
      <c r="X56" s="7"/>
    </row>
    <row r="57" spans="1:24" x14ac:dyDescent="0.25">
      <c r="A57" s="7">
        <v>2024</v>
      </c>
      <c r="B57" s="6" t="s">
        <v>90</v>
      </c>
      <c r="C57" s="6" t="s">
        <v>91</v>
      </c>
      <c r="D57" s="6" t="s">
        <v>92</v>
      </c>
      <c r="E57" s="6" t="s">
        <v>26</v>
      </c>
      <c r="F57" s="6" t="s">
        <v>100</v>
      </c>
      <c r="G57" s="6">
        <v>108</v>
      </c>
      <c r="H57" s="6">
        <v>8</v>
      </c>
      <c r="I57" s="6">
        <v>1</v>
      </c>
      <c r="J57" s="6">
        <v>4</v>
      </c>
      <c r="K57" s="6">
        <v>4</v>
      </c>
      <c r="L57" t="s">
        <v>252</v>
      </c>
      <c r="M57" s="8" t="s">
        <v>31</v>
      </c>
      <c r="N57" s="8" t="s">
        <v>60</v>
      </c>
      <c r="O57" s="9" t="s">
        <v>259</v>
      </c>
      <c r="P57" s="7">
        <v>8.3000000000000007</v>
      </c>
      <c r="Q57" s="7">
        <v>15.3</v>
      </c>
      <c r="R57" s="7">
        <v>42.9</v>
      </c>
      <c r="S57" s="15">
        <f t="shared" si="2"/>
        <v>7.9887499999999996</v>
      </c>
      <c r="T57" s="10">
        <f t="shared" si="0"/>
        <v>6276.525137952176</v>
      </c>
      <c r="U57" s="10">
        <f t="shared" si="1"/>
        <v>5599.0411578520752</v>
      </c>
      <c r="V57" s="6">
        <v>73.39</v>
      </c>
      <c r="W57" s="6">
        <v>50.6</v>
      </c>
      <c r="X57" s="7"/>
    </row>
    <row r="58" spans="1:24" x14ac:dyDescent="0.25">
      <c r="A58" s="7">
        <v>2024</v>
      </c>
      <c r="B58" s="6" t="s">
        <v>90</v>
      </c>
      <c r="C58" s="6" t="s">
        <v>91</v>
      </c>
      <c r="D58" s="6" t="s">
        <v>92</v>
      </c>
      <c r="E58" s="6" t="s">
        <v>26</v>
      </c>
      <c r="F58" s="6" t="s">
        <v>101</v>
      </c>
      <c r="G58" s="6">
        <v>201</v>
      </c>
      <c r="H58" s="6">
        <v>1</v>
      </c>
      <c r="I58" s="6">
        <v>2</v>
      </c>
      <c r="J58" s="6">
        <v>1</v>
      </c>
      <c r="K58" s="6">
        <v>1</v>
      </c>
      <c r="L58" t="s">
        <v>252</v>
      </c>
      <c r="M58" s="8" t="s">
        <v>471</v>
      </c>
      <c r="N58" s="8" t="s">
        <v>471</v>
      </c>
      <c r="O58" s="8" t="s">
        <v>471</v>
      </c>
      <c r="P58" s="7">
        <v>8.3000000000000007</v>
      </c>
      <c r="Q58" s="7">
        <v>13.5</v>
      </c>
      <c r="R58" s="7">
        <v>43.6</v>
      </c>
      <c r="S58" s="15">
        <f t="shared" si="2"/>
        <v>8.1585227272727288</v>
      </c>
      <c r="T58" s="10">
        <f t="shared" si="0"/>
        <v>6409.9105600101921</v>
      </c>
      <c r="U58" s="10">
        <f t="shared" si="1"/>
        <v>5718.0290455041859</v>
      </c>
      <c r="V58" s="6">
        <v>74.959999999999994</v>
      </c>
      <c r="W58" s="6">
        <v>61.92</v>
      </c>
      <c r="X58" s="7"/>
    </row>
    <row r="59" spans="1:24" x14ac:dyDescent="0.25">
      <c r="A59" s="7">
        <v>2024</v>
      </c>
      <c r="B59" s="6" t="s">
        <v>90</v>
      </c>
      <c r="C59" s="6" t="s">
        <v>91</v>
      </c>
      <c r="D59" s="6" t="s">
        <v>92</v>
      </c>
      <c r="E59" s="6" t="s">
        <v>26</v>
      </c>
      <c r="F59" s="6" t="s">
        <v>102</v>
      </c>
      <c r="G59" s="6">
        <v>202</v>
      </c>
      <c r="H59" s="6">
        <v>2</v>
      </c>
      <c r="I59" s="6">
        <v>2</v>
      </c>
      <c r="J59" s="6">
        <v>1</v>
      </c>
      <c r="K59" s="6">
        <v>4</v>
      </c>
      <c r="L59" t="s">
        <v>252</v>
      </c>
      <c r="M59" s="8" t="s">
        <v>31</v>
      </c>
      <c r="N59" s="8" t="s">
        <v>60</v>
      </c>
      <c r="O59" s="9" t="s">
        <v>259</v>
      </c>
      <c r="P59" s="7">
        <v>9.6300000000000008</v>
      </c>
      <c r="Q59" s="7">
        <v>14.2</v>
      </c>
      <c r="R59" s="7">
        <v>43.7</v>
      </c>
      <c r="S59" s="15">
        <f t="shared" si="2"/>
        <v>9.3892500000000023</v>
      </c>
      <c r="T59" s="10">
        <f t="shared" si="0"/>
        <v>7376.8566611193855</v>
      </c>
      <c r="U59" s="10">
        <f t="shared" si="1"/>
        <v>6580.6036227648401</v>
      </c>
      <c r="V59" s="6">
        <v>75.19</v>
      </c>
      <c r="W59" s="6">
        <v>62.92</v>
      </c>
      <c r="X59" s="7"/>
    </row>
    <row r="60" spans="1:24" x14ac:dyDescent="0.25">
      <c r="A60" s="7">
        <v>2024</v>
      </c>
      <c r="B60" s="6" t="s">
        <v>90</v>
      </c>
      <c r="C60" s="6" t="s">
        <v>91</v>
      </c>
      <c r="D60" s="6" t="s">
        <v>92</v>
      </c>
      <c r="E60" s="6" t="s">
        <v>26</v>
      </c>
      <c r="F60" s="6" t="s">
        <v>103</v>
      </c>
      <c r="G60" s="6">
        <v>203</v>
      </c>
      <c r="H60" s="6">
        <v>3</v>
      </c>
      <c r="I60" s="6">
        <v>2</v>
      </c>
      <c r="J60" s="6">
        <v>2</v>
      </c>
      <c r="K60" s="6">
        <v>8</v>
      </c>
      <c r="L60" t="s">
        <v>252</v>
      </c>
      <c r="M60" s="8" t="s">
        <v>33</v>
      </c>
      <c r="N60" s="8" t="s">
        <v>58</v>
      </c>
      <c r="O60" s="9" t="s">
        <v>467</v>
      </c>
      <c r="P60" s="7">
        <v>10.32</v>
      </c>
      <c r="Q60" s="7">
        <v>14</v>
      </c>
      <c r="R60" s="7">
        <v>43.8</v>
      </c>
      <c r="S60" s="15">
        <f t="shared" si="2"/>
        <v>10.085454545454544</v>
      </c>
      <c r="T60" s="10">
        <f t="shared" si="0"/>
        <v>7923.8440284424314</v>
      </c>
      <c r="U60" s="10">
        <f t="shared" si="1"/>
        <v>7068.5495347390115</v>
      </c>
      <c r="V60" s="6">
        <v>74.06</v>
      </c>
      <c r="W60" s="6">
        <v>61.32</v>
      </c>
      <c r="X60" s="7"/>
    </row>
    <row r="61" spans="1:24" x14ac:dyDescent="0.25">
      <c r="A61" s="7">
        <v>2024</v>
      </c>
      <c r="B61" s="6" t="s">
        <v>90</v>
      </c>
      <c r="C61" s="6" t="s">
        <v>91</v>
      </c>
      <c r="D61" s="6" t="s">
        <v>92</v>
      </c>
      <c r="E61" s="6" t="s">
        <v>26</v>
      </c>
      <c r="F61" s="6" t="s">
        <v>104</v>
      </c>
      <c r="G61" s="6">
        <v>204</v>
      </c>
      <c r="H61" s="6">
        <v>4</v>
      </c>
      <c r="I61" s="6">
        <v>2</v>
      </c>
      <c r="J61" s="6">
        <v>2</v>
      </c>
      <c r="K61" s="6">
        <v>7</v>
      </c>
      <c r="L61" t="s">
        <v>252</v>
      </c>
      <c r="M61" s="8" t="s">
        <v>31</v>
      </c>
      <c r="N61" s="8" t="s">
        <v>61</v>
      </c>
      <c r="O61" s="9" t="s">
        <v>259</v>
      </c>
      <c r="P61" s="7">
        <v>10.68</v>
      </c>
      <c r="Q61" s="7">
        <v>15.2</v>
      </c>
      <c r="R61" s="7">
        <v>43.2</v>
      </c>
      <c r="S61" s="15">
        <f t="shared" si="2"/>
        <v>10.291636363636364</v>
      </c>
      <c r="T61" s="10">
        <f t="shared" si="0"/>
        <v>8085.8349988454211</v>
      </c>
      <c r="U61" s="10">
        <f t="shared" si="1"/>
        <v>7213.0553067309729</v>
      </c>
      <c r="V61" s="6">
        <v>74.930000000000007</v>
      </c>
      <c r="W61" s="6">
        <v>63.88</v>
      </c>
      <c r="X61" s="7"/>
    </row>
    <row r="62" spans="1:24" x14ac:dyDescent="0.25">
      <c r="A62" s="7">
        <v>2024</v>
      </c>
      <c r="B62" s="6" t="s">
        <v>90</v>
      </c>
      <c r="C62" s="6" t="s">
        <v>91</v>
      </c>
      <c r="D62" s="6" t="s">
        <v>92</v>
      </c>
      <c r="E62" s="6" t="s">
        <v>26</v>
      </c>
      <c r="F62" s="6" t="s">
        <v>105</v>
      </c>
      <c r="G62" s="6">
        <v>205</v>
      </c>
      <c r="H62" s="6">
        <v>5</v>
      </c>
      <c r="I62" s="6">
        <v>2</v>
      </c>
      <c r="J62" s="6">
        <v>3</v>
      </c>
      <c r="K62" s="6">
        <v>4</v>
      </c>
      <c r="L62" t="s">
        <v>252</v>
      </c>
      <c r="M62" s="8" t="s">
        <v>31</v>
      </c>
      <c r="N62" s="8" t="s">
        <v>60</v>
      </c>
      <c r="O62" s="9" t="s">
        <v>259</v>
      </c>
      <c r="P62" s="7">
        <v>9.48</v>
      </c>
      <c r="Q62" s="7">
        <v>15</v>
      </c>
      <c r="R62" s="7">
        <v>43.1</v>
      </c>
      <c r="S62" s="15">
        <f t="shared" si="2"/>
        <v>9.1568181818181813</v>
      </c>
      <c r="T62" s="10">
        <f t="shared" si="0"/>
        <v>7194.2418403178663</v>
      </c>
      <c r="U62" s="10">
        <f t="shared" si="1"/>
        <v>6417.7001251720485</v>
      </c>
      <c r="V62" s="6">
        <v>74.180000000000007</v>
      </c>
      <c r="W62" s="6">
        <v>60.55</v>
      </c>
      <c r="X62" s="7"/>
    </row>
    <row r="63" spans="1:24" x14ac:dyDescent="0.25">
      <c r="A63" s="7">
        <v>2024</v>
      </c>
      <c r="B63" s="6" t="s">
        <v>90</v>
      </c>
      <c r="C63" s="6" t="s">
        <v>91</v>
      </c>
      <c r="D63" s="6" t="s">
        <v>92</v>
      </c>
      <c r="E63" s="6" t="s">
        <v>26</v>
      </c>
      <c r="F63" s="6" t="s">
        <v>106</v>
      </c>
      <c r="G63" s="6">
        <v>206</v>
      </c>
      <c r="H63" s="6">
        <v>6</v>
      </c>
      <c r="I63" s="6">
        <v>2</v>
      </c>
      <c r="J63" s="6">
        <v>3</v>
      </c>
      <c r="K63" s="6">
        <v>5</v>
      </c>
      <c r="L63" t="s">
        <v>252</v>
      </c>
      <c r="M63" s="8" t="s">
        <v>31</v>
      </c>
      <c r="N63" s="8" t="s">
        <v>62</v>
      </c>
      <c r="O63" s="9" t="s">
        <v>259</v>
      </c>
      <c r="P63" s="7">
        <v>10.199999999999999</v>
      </c>
      <c r="Q63" s="7">
        <v>14.5</v>
      </c>
      <c r="R63" s="7">
        <v>43.6</v>
      </c>
      <c r="S63" s="15">
        <f t="shared" si="2"/>
        <v>9.9102272727272727</v>
      </c>
      <c r="T63" s="10">
        <f t="shared" si="0"/>
        <v>7786.1731309769311</v>
      </c>
      <c r="U63" s="10">
        <f t="shared" si="1"/>
        <v>6945.738743065951</v>
      </c>
      <c r="V63" s="6">
        <v>74.88</v>
      </c>
      <c r="W63" s="6">
        <v>60.97</v>
      </c>
      <c r="X63" s="7"/>
    </row>
    <row r="64" spans="1:24" x14ac:dyDescent="0.25">
      <c r="A64" s="7">
        <v>2024</v>
      </c>
      <c r="B64" s="6" t="s">
        <v>90</v>
      </c>
      <c r="C64" s="6" t="s">
        <v>91</v>
      </c>
      <c r="D64" s="6" t="s">
        <v>92</v>
      </c>
      <c r="E64" s="6" t="s">
        <v>26</v>
      </c>
      <c r="F64" s="6" t="s">
        <v>107</v>
      </c>
      <c r="G64" s="6">
        <v>207</v>
      </c>
      <c r="H64" s="6">
        <v>7</v>
      </c>
      <c r="I64" s="6">
        <v>2</v>
      </c>
      <c r="J64" s="6">
        <v>4</v>
      </c>
      <c r="K64" s="6">
        <v>1</v>
      </c>
      <c r="L64" t="s">
        <v>252</v>
      </c>
      <c r="M64" s="8" t="s">
        <v>471</v>
      </c>
      <c r="N64" s="8" t="s">
        <v>471</v>
      </c>
      <c r="O64" s="8" t="s">
        <v>471</v>
      </c>
      <c r="P64" s="7">
        <v>8.81</v>
      </c>
      <c r="Q64" s="7">
        <v>15.1</v>
      </c>
      <c r="R64" s="7">
        <v>43.1</v>
      </c>
      <c r="S64" s="15">
        <f t="shared" si="2"/>
        <v>8.4996477272727287</v>
      </c>
      <c r="T64" s="10">
        <f t="shared" si="0"/>
        <v>6677.922406379641</v>
      </c>
      <c r="U64" s="10">
        <f t="shared" si="1"/>
        <v>5957.1118700978068</v>
      </c>
      <c r="V64" s="6">
        <v>73.52</v>
      </c>
      <c r="W64" s="6">
        <v>56.13</v>
      </c>
      <c r="X64" s="7"/>
    </row>
    <row r="65" spans="1:24" x14ac:dyDescent="0.25">
      <c r="A65" s="7">
        <v>2024</v>
      </c>
      <c r="B65" s="6" t="s">
        <v>90</v>
      </c>
      <c r="C65" s="6" t="s">
        <v>91</v>
      </c>
      <c r="D65" s="6" t="s">
        <v>92</v>
      </c>
      <c r="E65" s="6" t="s">
        <v>26</v>
      </c>
      <c r="F65" s="6" t="s">
        <v>108</v>
      </c>
      <c r="G65" s="6">
        <v>208</v>
      </c>
      <c r="H65" s="6">
        <v>8</v>
      </c>
      <c r="I65" s="6">
        <v>2</v>
      </c>
      <c r="J65" s="6">
        <v>4</v>
      </c>
      <c r="K65" s="6">
        <v>5</v>
      </c>
      <c r="L65" t="s">
        <v>252</v>
      </c>
      <c r="M65" s="8" t="s">
        <v>31</v>
      </c>
      <c r="N65" s="8" t="s">
        <v>62</v>
      </c>
      <c r="O65" s="9" t="s">
        <v>259</v>
      </c>
      <c r="P65" s="7">
        <v>10.01</v>
      </c>
      <c r="Q65" s="7">
        <v>15</v>
      </c>
      <c r="R65" s="7">
        <v>43.3</v>
      </c>
      <c r="S65" s="15">
        <f t="shared" si="2"/>
        <v>9.6687499999999993</v>
      </c>
      <c r="T65" s="10">
        <f t="shared" si="0"/>
        <v>7596.4515634580002</v>
      </c>
      <c r="U65" s="10">
        <f t="shared" si="1"/>
        <v>6776.4955963050852</v>
      </c>
      <c r="V65" s="6">
        <v>74.08</v>
      </c>
      <c r="W65" s="6">
        <v>58.88</v>
      </c>
      <c r="X65" s="7"/>
    </row>
    <row r="66" spans="1:24" x14ac:dyDescent="0.25">
      <c r="A66" s="7">
        <v>2024</v>
      </c>
      <c r="B66" s="6" t="s">
        <v>90</v>
      </c>
      <c r="C66" s="6" t="s">
        <v>91</v>
      </c>
      <c r="D66" s="6" t="s">
        <v>92</v>
      </c>
      <c r="E66" s="6" t="s">
        <v>26</v>
      </c>
      <c r="F66" s="6" t="s">
        <v>109</v>
      </c>
      <c r="G66" s="6">
        <v>301</v>
      </c>
      <c r="H66" s="6">
        <v>1</v>
      </c>
      <c r="I66" s="6">
        <v>3</v>
      </c>
      <c r="J66" s="6">
        <v>1</v>
      </c>
      <c r="K66" s="6">
        <v>3</v>
      </c>
      <c r="L66" t="s">
        <v>252</v>
      </c>
      <c r="M66" s="8" t="s">
        <v>31</v>
      </c>
      <c r="N66" s="8" t="s">
        <v>58</v>
      </c>
      <c r="O66" s="9" t="s">
        <v>259</v>
      </c>
      <c r="P66" s="7">
        <v>9.34</v>
      </c>
      <c r="Q66" s="7">
        <v>16.100000000000001</v>
      </c>
      <c r="R66" s="7">
        <v>43</v>
      </c>
      <c r="S66" s="15">
        <f t="shared" si="2"/>
        <v>8.9048409090909075</v>
      </c>
      <c r="T66" s="10">
        <f t="shared" si="0"/>
        <v>6996.270732639523</v>
      </c>
      <c r="U66" s="10">
        <f t="shared" si="1"/>
        <v>6241.0978881708497</v>
      </c>
      <c r="V66" s="6">
        <v>73.989999999999995</v>
      </c>
      <c r="W66" s="6">
        <v>59.49</v>
      </c>
      <c r="X66" s="7"/>
    </row>
    <row r="67" spans="1:24" x14ac:dyDescent="0.25">
      <c r="A67" s="7">
        <v>2024</v>
      </c>
      <c r="B67" s="6" t="s">
        <v>90</v>
      </c>
      <c r="C67" s="6" t="s">
        <v>91</v>
      </c>
      <c r="D67" s="6" t="s">
        <v>92</v>
      </c>
      <c r="E67" s="6" t="s">
        <v>26</v>
      </c>
      <c r="F67" s="6" t="s">
        <v>110</v>
      </c>
      <c r="G67" s="6">
        <v>302</v>
      </c>
      <c r="H67" s="6">
        <v>2</v>
      </c>
      <c r="I67" s="6">
        <v>3</v>
      </c>
      <c r="J67" s="6">
        <v>1</v>
      </c>
      <c r="K67" s="6">
        <v>6</v>
      </c>
      <c r="L67" t="s">
        <v>252</v>
      </c>
      <c r="M67" s="8" t="s">
        <v>31</v>
      </c>
      <c r="N67" s="8" t="s">
        <v>59</v>
      </c>
      <c r="O67" s="9" t="s">
        <v>259</v>
      </c>
      <c r="P67" s="7">
        <v>10.16</v>
      </c>
      <c r="Q67" s="7">
        <v>13.9</v>
      </c>
      <c r="R67" s="7">
        <v>43.9</v>
      </c>
      <c r="S67" s="15">
        <f t="shared" si="2"/>
        <v>9.9406363636363633</v>
      </c>
      <c r="T67" s="10">
        <f t="shared" ref="T67:T81" si="3">((100000*S67*12%/2.205))/((4.66*16)/10.764)</f>
        <v>7810.0646563736682</v>
      </c>
      <c r="U67" s="10">
        <f t="shared" ref="U67:U81" si="4">T67/1.121</f>
        <v>6967.0514329827547</v>
      </c>
      <c r="V67" s="6">
        <v>74.150000000000006</v>
      </c>
      <c r="W67" s="6">
        <v>60.75</v>
      </c>
      <c r="X67" s="7"/>
    </row>
    <row r="68" spans="1:24" x14ac:dyDescent="0.25">
      <c r="A68" s="7">
        <v>2024</v>
      </c>
      <c r="B68" s="6" t="s">
        <v>90</v>
      </c>
      <c r="C68" s="6" t="s">
        <v>91</v>
      </c>
      <c r="D68" s="6" t="s">
        <v>92</v>
      </c>
      <c r="E68" s="6" t="s">
        <v>26</v>
      </c>
      <c r="F68" s="6" t="s">
        <v>111</v>
      </c>
      <c r="G68" s="6">
        <v>303</v>
      </c>
      <c r="H68" s="6">
        <v>3</v>
      </c>
      <c r="I68" s="6">
        <v>3</v>
      </c>
      <c r="J68" s="6">
        <v>2</v>
      </c>
      <c r="K68" s="6">
        <v>4</v>
      </c>
      <c r="L68" t="s">
        <v>252</v>
      </c>
      <c r="M68" s="8" t="s">
        <v>31</v>
      </c>
      <c r="N68" s="8" t="s">
        <v>60</v>
      </c>
      <c r="P68" s="7">
        <v>10.119999999999999</v>
      </c>
      <c r="Q68" s="7">
        <v>15.1</v>
      </c>
      <c r="R68" s="7">
        <v>43.1</v>
      </c>
      <c r="S68" s="15">
        <f t="shared" ref="S68:S81" si="5">P68*(1-Q68/100)/(1-0.12)</f>
        <v>9.7635000000000005</v>
      </c>
      <c r="T68" s="10">
        <f t="shared" si="3"/>
        <v>7670.8938425155466</v>
      </c>
      <c r="U68" s="10">
        <f t="shared" si="4"/>
        <v>6842.9026249023609</v>
      </c>
      <c r="V68" s="6">
        <v>74.430000000000007</v>
      </c>
      <c r="W68" s="6">
        <v>60.4</v>
      </c>
      <c r="X68" s="7"/>
    </row>
    <row r="69" spans="1:24" x14ac:dyDescent="0.25">
      <c r="A69" s="7">
        <v>2024</v>
      </c>
      <c r="B69" s="6" t="s">
        <v>90</v>
      </c>
      <c r="C69" s="6" t="s">
        <v>91</v>
      </c>
      <c r="D69" s="6" t="s">
        <v>92</v>
      </c>
      <c r="E69" s="6" t="s">
        <v>26</v>
      </c>
      <c r="F69" s="6" t="s">
        <v>112</v>
      </c>
      <c r="G69" s="6">
        <v>304</v>
      </c>
      <c r="H69" s="6">
        <v>4</v>
      </c>
      <c r="I69" s="6">
        <v>3</v>
      </c>
      <c r="J69" s="6">
        <v>2</v>
      </c>
      <c r="K69" s="6">
        <v>1</v>
      </c>
      <c r="L69" t="s">
        <v>252</v>
      </c>
      <c r="M69" s="8" t="s">
        <v>471</v>
      </c>
      <c r="N69" s="8" t="s">
        <v>471</v>
      </c>
      <c r="O69" s="8" t="s">
        <v>471</v>
      </c>
      <c r="P69" s="7">
        <v>10.1</v>
      </c>
      <c r="Q69" s="7">
        <v>14.8</v>
      </c>
      <c r="R69" s="7">
        <v>43.4</v>
      </c>
      <c r="S69" s="15">
        <f t="shared" si="5"/>
        <v>9.7786363636363642</v>
      </c>
      <c r="T69" s="10">
        <f t="shared" si="3"/>
        <v>7682.7860367713211</v>
      </c>
      <c r="U69" s="10">
        <f t="shared" si="4"/>
        <v>6853.5111835605003</v>
      </c>
      <c r="V69" s="6">
        <v>74.400000000000006</v>
      </c>
      <c r="W69" s="6">
        <v>61.6</v>
      </c>
      <c r="X69" s="7"/>
    </row>
    <row r="70" spans="1:24" x14ac:dyDescent="0.25">
      <c r="A70" s="7">
        <v>2024</v>
      </c>
      <c r="B70" s="6" t="s">
        <v>90</v>
      </c>
      <c r="C70" s="6" t="s">
        <v>91</v>
      </c>
      <c r="D70" s="6" t="s">
        <v>92</v>
      </c>
      <c r="E70" s="6" t="s">
        <v>26</v>
      </c>
      <c r="F70" s="6" t="s">
        <v>113</v>
      </c>
      <c r="G70" s="6">
        <v>305</v>
      </c>
      <c r="H70" s="6">
        <v>5</v>
      </c>
      <c r="I70" s="6">
        <v>3</v>
      </c>
      <c r="J70" s="6">
        <v>3</v>
      </c>
      <c r="K70" s="6">
        <v>2</v>
      </c>
      <c r="L70" t="s">
        <v>252</v>
      </c>
      <c r="M70" s="8" t="s">
        <v>31</v>
      </c>
      <c r="N70" s="8" t="s">
        <v>470</v>
      </c>
      <c r="O70" s="9" t="s">
        <v>259</v>
      </c>
      <c r="P70" s="7">
        <v>10.050000000000001</v>
      </c>
      <c r="Q70" s="7">
        <v>15</v>
      </c>
      <c r="R70" s="7">
        <v>43.3</v>
      </c>
      <c r="S70" s="15">
        <f t="shared" si="5"/>
        <v>9.7073863636363633</v>
      </c>
      <c r="T70" s="10">
        <f t="shared" si="3"/>
        <v>7626.8070142610295</v>
      </c>
      <c r="U70" s="10">
        <f t="shared" si="4"/>
        <v>6803.5744997868242</v>
      </c>
      <c r="V70" s="6">
        <v>74.36</v>
      </c>
      <c r="W70" s="6">
        <v>61.68</v>
      </c>
      <c r="X70" s="7"/>
    </row>
    <row r="71" spans="1:24" x14ac:dyDescent="0.25">
      <c r="A71" s="7">
        <v>2024</v>
      </c>
      <c r="B71" s="6" t="s">
        <v>90</v>
      </c>
      <c r="C71" s="6" t="s">
        <v>91</v>
      </c>
      <c r="D71" s="6" t="s">
        <v>92</v>
      </c>
      <c r="E71" s="6" t="s">
        <v>26</v>
      </c>
      <c r="F71" s="6" t="s">
        <v>114</v>
      </c>
      <c r="G71" s="6">
        <v>306</v>
      </c>
      <c r="H71" s="6">
        <v>6</v>
      </c>
      <c r="I71" s="6">
        <v>3</v>
      </c>
      <c r="J71" s="6">
        <v>3</v>
      </c>
      <c r="K71" s="6">
        <v>3</v>
      </c>
      <c r="L71" t="s">
        <v>252</v>
      </c>
      <c r="M71" s="8" t="s">
        <v>31</v>
      </c>
      <c r="N71" s="8" t="s">
        <v>58</v>
      </c>
      <c r="O71" s="9" t="s">
        <v>259</v>
      </c>
      <c r="P71" s="7">
        <v>10.88</v>
      </c>
      <c r="Q71" s="7">
        <v>14.9</v>
      </c>
      <c r="R71" s="7">
        <v>43.5</v>
      </c>
      <c r="S71" s="15">
        <f t="shared" si="5"/>
        <v>10.521454545454544</v>
      </c>
      <c r="T71" s="10">
        <f t="shared" si="3"/>
        <v>8266.3963626808472</v>
      </c>
      <c r="U71" s="10">
        <f t="shared" si="4"/>
        <v>7374.1269961470534</v>
      </c>
      <c r="V71" s="6">
        <v>73.89</v>
      </c>
      <c r="W71" s="6">
        <v>60.28</v>
      </c>
      <c r="X71" s="7"/>
    </row>
    <row r="72" spans="1:24" x14ac:dyDescent="0.25">
      <c r="A72" s="7">
        <v>2024</v>
      </c>
      <c r="B72" s="6" t="s">
        <v>90</v>
      </c>
      <c r="C72" s="6" t="s">
        <v>91</v>
      </c>
      <c r="D72" s="6" t="s">
        <v>92</v>
      </c>
      <c r="E72" s="6" t="s">
        <v>26</v>
      </c>
      <c r="F72" s="6" t="s">
        <v>115</v>
      </c>
      <c r="G72" s="6">
        <v>307</v>
      </c>
      <c r="H72" s="6">
        <v>7</v>
      </c>
      <c r="I72" s="6">
        <v>3</v>
      </c>
      <c r="J72" s="6">
        <v>4</v>
      </c>
      <c r="K72" s="6">
        <v>2</v>
      </c>
      <c r="L72" t="s">
        <v>252</v>
      </c>
      <c r="M72" s="8" t="s">
        <v>31</v>
      </c>
      <c r="N72" s="8" t="s">
        <v>470</v>
      </c>
      <c r="O72" s="9" t="s">
        <v>259</v>
      </c>
      <c r="P72" s="7">
        <v>9.85</v>
      </c>
      <c r="Q72" s="7">
        <v>14.3</v>
      </c>
      <c r="R72" s="7">
        <v>43.7</v>
      </c>
      <c r="S72" s="15">
        <f t="shared" si="5"/>
        <v>9.5925568181818175</v>
      </c>
      <c r="T72" s="10">
        <f t="shared" si="3"/>
        <v>7536.5888288596734</v>
      </c>
      <c r="U72" s="10">
        <f t="shared" si="4"/>
        <v>6723.0944057624201</v>
      </c>
      <c r="V72" s="6">
        <v>74.7</v>
      </c>
      <c r="W72" s="6">
        <v>62.33</v>
      </c>
      <c r="X72" s="7"/>
    </row>
    <row r="73" spans="1:24" x14ac:dyDescent="0.25">
      <c r="A73" s="7">
        <v>2024</v>
      </c>
      <c r="B73" s="6" t="s">
        <v>90</v>
      </c>
      <c r="C73" s="6" t="s">
        <v>91</v>
      </c>
      <c r="D73" s="6" t="s">
        <v>92</v>
      </c>
      <c r="E73" s="6" t="s">
        <v>26</v>
      </c>
      <c r="F73" s="6" t="s">
        <v>116</v>
      </c>
      <c r="G73" s="6">
        <v>308</v>
      </c>
      <c r="H73" s="6">
        <v>8</v>
      </c>
      <c r="I73" s="6">
        <v>3</v>
      </c>
      <c r="J73" s="6">
        <v>4</v>
      </c>
      <c r="K73" s="6">
        <v>3</v>
      </c>
      <c r="L73" t="s">
        <v>252</v>
      </c>
      <c r="M73" s="8" t="s">
        <v>31</v>
      </c>
      <c r="N73" s="8" t="s">
        <v>58</v>
      </c>
      <c r="O73" s="9" t="s">
        <v>259</v>
      </c>
      <c r="P73" s="7">
        <v>11.32</v>
      </c>
      <c r="Q73" s="7">
        <v>15.3</v>
      </c>
      <c r="R73" s="7">
        <v>43.1</v>
      </c>
      <c r="S73" s="15">
        <f t="shared" si="5"/>
        <v>10.8955</v>
      </c>
      <c r="T73" s="10">
        <f t="shared" si="3"/>
        <v>8560.2728387492334</v>
      </c>
      <c r="U73" s="10">
        <f t="shared" si="4"/>
        <v>7636.282639383794</v>
      </c>
      <c r="V73" s="6">
        <v>74.39</v>
      </c>
      <c r="W73" s="6">
        <v>60.35</v>
      </c>
      <c r="X73" s="7"/>
    </row>
    <row r="74" spans="1:24" x14ac:dyDescent="0.25">
      <c r="A74" s="7">
        <v>2024</v>
      </c>
      <c r="B74" s="6" t="s">
        <v>90</v>
      </c>
      <c r="C74" s="6" t="s">
        <v>91</v>
      </c>
      <c r="D74" s="6" t="s">
        <v>92</v>
      </c>
      <c r="E74" s="6" t="s">
        <v>26</v>
      </c>
      <c r="F74" s="7" t="s">
        <v>117</v>
      </c>
      <c r="G74" s="7">
        <v>401</v>
      </c>
      <c r="H74" s="7">
        <v>1</v>
      </c>
      <c r="I74" s="7">
        <v>4</v>
      </c>
      <c r="J74" s="7">
        <v>1</v>
      </c>
      <c r="K74" s="7">
        <v>7</v>
      </c>
      <c r="L74" t="s">
        <v>252</v>
      </c>
      <c r="M74" s="14" t="s">
        <v>31</v>
      </c>
      <c r="N74" s="14" t="s">
        <v>61</v>
      </c>
      <c r="O74" s="9" t="s">
        <v>259</v>
      </c>
      <c r="P74" s="7">
        <v>9.39</v>
      </c>
      <c r="Q74" s="7">
        <v>14</v>
      </c>
      <c r="R74" s="7">
        <v>43.5</v>
      </c>
      <c r="S74" s="15">
        <f t="shared" si="5"/>
        <v>9.1765909090909084</v>
      </c>
      <c r="T74" s="10">
        <f t="shared" si="3"/>
        <v>7209.7766886700047</v>
      </c>
      <c r="U74" s="10">
        <f t="shared" si="4"/>
        <v>6431.558152247997</v>
      </c>
      <c r="V74" s="6">
        <v>73.69</v>
      </c>
      <c r="W74" s="6">
        <v>55.92</v>
      </c>
      <c r="X74" s="7"/>
    </row>
    <row r="75" spans="1:24" x14ac:dyDescent="0.25">
      <c r="A75" s="7">
        <v>2024</v>
      </c>
      <c r="B75" s="6" t="s">
        <v>90</v>
      </c>
      <c r="C75" s="6" t="s">
        <v>91</v>
      </c>
      <c r="D75" s="6" t="s">
        <v>92</v>
      </c>
      <c r="E75" s="6" t="s">
        <v>26</v>
      </c>
      <c r="F75" s="7" t="s">
        <v>118</v>
      </c>
      <c r="G75" s="7">
        <v>402</v>
      </c>
      <c r="H75" s="7">
        <v>2</v>
      </c>
      <c r="I75" s="7">
        <v>4</v>
      </c>
      <c r="J75" s="7">
        <v>1</v>
      </c>
      <c r="K75" s="7">
        <v>8</v>
      </c>
      <c r="L75" t="s">
        <v>252</v>
      </c>
      <c r="M75" s="14" t="s">
        <v>33</v>
      </c>
      <c r="N75" s="14" t="s">
        <v>58</v>
      </c>
      <c r="O75" s="9" t="s">
        <v>467</v>
      </c>
      <c r="P75" s="7">
        <v>10.67</v>
      </c>
      <c r="Q75" s="7">
        <v>14.4</v>
      </c>
      <c r="R75" s="7">
        <v>43.7</v>
      </c>
      <c r="S75" s="15">
        <f t="shared" si="5"/>
        <v>10.379</v>
      </c>
      <c r="T75" s="10">
        <f t="shared" si="3"/>
        <v>8154.4740299553296</v>
      </c>
      <c r="U75" s="10">
        <f t="shared" si="4"/>
        <v>7274.2854861332107</v>
      </c>
      <c r="V75" s="6">
        <v>74.58</v>
      </c>
      <c r="W75" s="6">
        <v>57.99</v>
      </c>
      <c r="X75" s="7"/>
    </row>
    <row r="76" spans="1:24" x14ac:dyDescent="0.25">
      <c r="A76" s="7">
        <v>2024</v>
      </c>
      <c r="B76" s="6" t="s">
        <v>90</v>
      </c>
      <c r="C76" s="6" t="s">
        <v>91</v>
      </c>
      <c r="D76" s="6" t="s">
        <v>92</v>
      </c>
      <c r="E76" s="6" t="s">
        <v>26</v>
      </c>
      <c r="F76" s="7" t="s">
        <v>119</v>
      </c>
      <c r="G76" s="7">
        <v>403</v>
      </c>
      <c r="H76" s="7">
        <v>3</v>
      </c>
      <c r="I76" s="7">
        <v>4</v>
      </c>
      <c r="J76" s="7">
        <v>2</v>
      </c>
      <c r="K76" s="7">
        <v>6</v>
      </c>
      <c r="L76" t="s">
        <v>252</v>
      </c>
      <c r="M76" s="14" t="s">
        <v>31</v>
      </c>
      <c r="N76" s="14" t="s">
        <v>59</v>
      </c>
      <c r="O76" s="9" t="s">
        <v>259</v>
      </c>
      <c r="P76" s="7">
        <v>10.039999999999999</v>
      </c>
      <c r="Q76" s="7">
        <v>13.9</v>
      </c>
      <c r="R76" s="7">
        <v>43.9</v>
      </c>
      <c r="S76" s="15">
        <f t="shared" si="5"/>
        <v>9.8232272727272729</v>
      </c>
      <c r="T76" s="10">
        <f t="shared" si="3"/>
        <v>7717.8197982275224</v>
      </c>
      <c r="U76" s="10">
        <f t="shared" si="4"/>
        <v>6884.7634239317777</v>
      </c>
      <c r="V76" s="6">
        <v>73.77</v>
      </c>
      <c r="W76" s="6">
        <v>56.36</v>
      </c>
      <c r="X76" s="7"/>
    </row>
    <row r="77" spans="1:24" x14ac:dyDescent="0.25">
      <c r="A77" s="7">
        <v>2024</v>
      </c>
      <c r="B77" s="6" t="s">
        <v>90</v>
      </c>
      <c r="C77" s="6" t="s">
        <v>91</v>
      </c>
      <c r="D77" s="6" t="s">
        <v>92</v>
      </c>
      <c r="E77" s="6" t="s">
        <v>26</v>
      </c>
      <c r="F77" s="7" t="s">
        <v>120</v>
      </c>
      <c r="G77" s="7">
        <v>404</v>
      </c>
      <c r="H77" s="7">
        <v>4</v>
      </c>
      <c r="I77" s="7">
        <v>4</v>
      </c>
      <c r="J77" s="7">
        <v>2</v>
      </c>
      <c r="K77" s="7">
        <v>3</v>
      </c>
      <c r="L77" t="s">
        <v>252</v>
      </c>
      <c r="M77" s="14" t="s">
        <v>31</v>
      </c>
      <c r="N77" s="14" t="s">
        <v>58</v>
      </c>
      <c r="O77" s="9" t="s">
        <v>259</v>
      </c>
      <c r="P77" s="7">
        <v>11.13</v>
      </c>
      <c r="Q77" s="7">
        <v>13.8</v>
      </c>
      <c r="R77" s="7">
        <v>43.9</v>
      </c>
      <c r="S77" s="15">
        <f t="shared" si="5"/>
        <v>10.90234090909091</v>
      </c>
      <c r="T77" s="10">
        <f t="shared" si="3"/>
        <v>8565.6475391561235</v>
      </c>
      <c r="U77" s="10">
        <f t="shared" si="4"/>
        <v>7641.0771981767384</v>
      </c>
      <c r="V77" s="6">
        <v>74.33</v>
      </c>
      <c r="W77" s="6">
        <v>57.98</v>
      </c>
      <c r="X77" s="7"/>
    </row>
    <row r="78" spans="1:24" x14ac:dyDescent="0.25">
      <c r="A78" s="7">
        <v>2024</v>
      </c>
      <c r="B78" s="6" t="s">
        <v>90</v>
      </c>
      <c r="C78" s="6" t="s">
        <v>91</v>
      </c>
      <c r="D78" s="6" t="s">
        <v>92</v>
      </c>
      <c r="E78" s="6" t="s">
        <v>26</v>
      </c>
      <c r="F78" s="7" t="s">
        <v>121</v>
      </c>
      <c r="G78" s="7">
        <v>405</v>
      </c>
      <c r="H78" s="7">
        <v>5</v>
      </c>
      <c r="I78" s="7">
        <v>4</v>
      </c>
      <c r="J78" s="7">
        <v>3</v>
      </c>
      <c r="K78" s="7">
        <v>7</v>
      </c>
      <c r="L78" t="s">
        <v>252</v>
      </c>
      <c r="M78" s="14" t="s">
        <v>31</v>
      </c>
      <c r="N78" s="14" t="s">
        <v>61</v>
      </c>
      <c r="O78" s="9" t="s">
        <v>259</v>
      </c>
      <c r="P78" s="7">
        <v>10.6</v>
      </c>
      <c r="Q78" s="7">
        <v>13.8</v>
      </c>
      <c r="R78" s="7">
        <v>43.8</v>
      </c>
      <c r="S78" s="15">
        <f t="shared" si="5"/>
        <v>10.383181818181818</v>
      </c>
      <c r="T78" s="10">
        <f t="shared" si="3"/>
        <v>8157.7595611010684</v>
      </c>
      <c r="U78" s="10">
        <f t="shared" si="4"/>
        <v>7277.2163792159399</v>
      </c>
      <c r="V78" s="6">
        <v>73.48</v>
      </c>
      <c r="W78" s="6">
        <v>54.56</v>
      </c>
      <c r="X78" s="7"/>
    </row>
    <row r="79" spans="1:24" x14ac:dyDescent="0.25">
      <c r="A79" s="7">
        <v>2024</v>
      </c>
      <c r="B79" s="6" t="s">
        <v>90</v>
      </c>
      <c r="C79" s="6" t="s">
        <v>91</v>
      </c>
      <c r="D79" s="6" t="s">
        <v>92</v>
      </c>
      <c r="E79" s="6" t="s">
        <v>26</v>
      </c>
      <c r="F79" s="7" t="s">
        <v>122</v>
      </c>
      <c r="G79" s="7">
        <v>406</v>
      </c>
      <c r="H79" s="7">
        <v>6</v>
      </c>
      <c r="I79" s="7">
        <v>4</v>
      </c>
      <c r="J79" s="7">
        <v>3</v>
      </c>
      <c r="K79" s="7">
        <v>1</v>
      </c>
      <c r="L79" t="s">
        <v>252</v>
      </c>
      <c r="M79" s="8" t="s">
        <v>471</v>
      </c>
      <c r="N79" s="8" t="s">
        <v>471</v>
      </c>
      <c r="O79" s="8" t="s">
        <v>471</v>
      </c>
      <c r="P79" s="7">
        <v>10.68</v>
      </c>
      <c r="Q79" s="7">
        <v>13.6</v>
      </c>
      <c r="R79" s="7">
        <v>44.1</v>
      </c>
      <c r="S79" s="15">
        <f t="shared" si="5"/>
        <v>10.485818181818182</v>
      </c>
      <c r="T79" s="10">
        <f t="shared" si="3"/>
        <v>8238.3979233519385</v>
      </c>
      <c r="U79" s="10">
        <f t="shared" si="4"/>
        <v>7349.1506898768412</v>
      </c>
      <c r="V79" s="6">
        <v>73.62</v>
      </c>
      <c r="W79" s="6">
        <v>53.33</v>
      </c>
      <c r="X79" s="7"/>
    </row>
    <row r="80" spans="1:24" x14ac:dyDescent="0.25">
      <c r="A80" s="7">
        <v>2024</v>
      </c>
      <c r="B80" s="6" t="s">
        <v>90</v>
      </c>
      <c r="C80" s="6" t="s">
        <v>91</v>
      </c>
      <c r="D80" s="6" t="s">
        <v>92</v>
      </c>
      <c r="E80" s="6" t="s">
        <v>26</v>
      </c>
      <c r="F80" s="7" t="s">
        <v>123</v>
      </c>
      <c r="G80" s="7">
        <v>407</v>
      </c>
      <c r="H80" s="7">
        <v>7</v>
      </c>
      <c r="I80" s="7">
        <v>4</v>
      </c>
      <c r="J80" s="7">
        <v>4</v>
      </c>
      <c r="K80" s="7">
        <v>6</v>
      </c>
      <c r="L80" t="s">
        <v>252</v>
      </c>
      <c r="M80" s="14" t="s">
        <v>31</v>
      </c>
      <c r="N80" s="14" t="s">
        <v>59</v>
      </c>
      <c r="O80" s="9" t="s">
        <v>259</v>
      </c>
      <c r="P80" s="7">
        <v>10.4</v>
      </c>
      <c r="Q80" s="7">
        <v>12.9</v>
      </c>
      <c r="R80" s="7">
        <v>44.4</v>
      </c>
      <c r="S80" s="15">
        <f t="shared" si="5"/>
        <v>10.293636363636365</v>
      </c>
      <c r="T80" s="10">
        <f t="shared" si="3"/>
        <v>8087.4063398281669</v>
      </c>
      <c r="U80" s="10">
        <f t="shared" si="4"/>
        <v>7214.4570382053225</v>
      </c>
      <c r="V80" s="6">
        <v>73.680000000000007</v>
      </c>
      <c r="W80" s="6">
        <v>54.79</v>
      </c>
      <c r="X80" s="7"/>
    </row>
    <row r="81" spans="1:24" x14ac:dyDescent="0.25">
      <c r="A81" s="7">
        <v>2024</v>
      </c>
      <c r="B81" s="6" t="s">
        <v>90</v>
      </c>
      <c r="C81" s="6" t="s">
        <v>91</v>
      </c>
      <c r="D81" s="6" t="s">
        <v>92</v>
      </c>
      <c r="E81" s="6" t="s">
        <v>26</v>
      </c>
      <c r="F81" s="7" t="s">
        <v>124</v>
      </c>
      <c r="G81" s="7">
        <v>408</v>
      </c>
      <c r="H81" s="7">
        <v>8</v>
      </c>
      <c r="I81" s="7">
        <v>4</v>
      </c>
      <c r="J81" s="7">
        <v>4</v>
      </c>
      <c r="K81" s="7">
        <v>8</v>
      </c>
      <c r="L81" t="s">
        <v>252</v>
      </c>
      <c r="M81" s="14" t="s">
        <v>33</v>
      </c>
      <c r="N81" s="14" t="s">
        <v>58</v>
      </c>
      <c r="O81" s="9" t="s">
        <v>467</v>
      </c>
      <c r="P81" s="7">
        <v>12.06</v>
      </c>
      <c r="Q81" s="7">
        <v>12.5</v>
      </c>
      <c r="R81" s="7">
        <v>44.7</v>
      </c>
      <c r="S81" s="15">
        <f t="shared" si="5"/>
        <v>11.991477272727273</v>
      </c>
      <c r="T81" s="10">
        <f t="shared" si="3"/>
        <v>9421.3498411459768</v>
      </c>
      <c r="U81" s="10">
        <f t="shared" si="4"/>
        <v>8404.4155585601929</v>
      </c>
      <c r="V81" s="6">
        <v>74.28</v>
      </c>
      <c r="W81" s="6">
        <v>54.78</v>
      </c>
      <c r="X81" s="7"/>
    </row>
    <row r="82" spans="1:24" x14ac:dyDescent="0.25">
      <c r="A82" s="7">
        <v>2024</v>
      </c>
      <c r="B82" s="6" t="s">
        <v>125</v>
      </c>
      <c r="C82" s="6" t="s">
        <v>126</v>
      </c>
      <c r="D82" s="6" t="s">
        <v>127</v>
      </c>
      <c r="E82" s="8" t="s">
        <v>128</v>
      </c>
      <c r="F82" s="6" t="s">
        <v>129</v>
      </c>
      <c r="G82" s="6">
        <v>101</v>
      </c>
      <c r="H82" s="6">
        <v>1</v>
      </c>
      <c r="I82" s="6">
        <v>1</v>
      </c>
      <c r="J82" s="6">
        <v>1</v>
      </c>
      <c r="K82" s="6">
        <v>1</v>
      </c>
      <c r="L82" t="s">
        <v>252</v>
      </c>
      <c r="M82" s="8" t="s">
        <v>471</v>
      </c>
      <c r="N82" s="8" t="s">
        <v>471</v>
      </c>
      <c r="O82" s="8" t="s">
        <v>471</v>
      </c>
      <c r="P82" s="6"/>
      <c r="Q82" s="6"/>
      <c r="R82" s="6"/>
      <c r="S82" s="15"/>
      <c r="T82" s="10"/>
      <c r="U82" s="11"/>
      <c r="V82" s="10">
        <v>71.069999999999993</v>
      </c>
      <c r="W82" s="10">
        <v>46.55</v>
      </c>
      <c r="X82" s="7"/>
    </row>
    <row r="83" spans="1:24" x14ac:dyDescent="0.25">
      <c r="A83" s="7">
        <v>2024</v>
      </c>
      <c r="B83" s="6" t="s">
        <v>125</v>
      </c>
      <c r="C83" s="6" t="s">
        <v>126</v>
      </c>
      <c r="D83" s="6" t="s">
        <v>127</v>
      </c>
      <c r="E83" s="8" t="s">
        <v>128</v>
      </c>
      <c r="F83" s="6" t="s">
        <v>130</v>
      </c>
      <c r="G83" s="6">
        <v>102</v>
      </c>
      <c r="H83" s="6">
        <v>2</v>
      </c>
      <c r="I83" s="6">
        <v>1</v>
      </c>
      <c r="J83" s="6">
        <v>1</v>
      </c>
      <c r="K83" s="6">
        <v>2</v>
      </c>
      <c r="L83" t="s">
        <v>252</v>
      </c>
      <c r="M83" s="8" t="s">
        <v>31</v>
      </c>
      <c r="N83" s="8" t="s">
        <v>470</v>
      </c>
      <c r="O83" s="9" t="s">
        <v>259</v>
      </c>
      <c r="P83" s="6">
        <v>10.44</v>
      </c>
      <c r="Q83" s="6">
        <v>11.8</v>
      </c>
      <c r="R83" s="6">
        <v>44</v>
      </c>
      <c r="S83" s="15">
        <f>P83*(1-Q83/100)/(1-0.12)</f>
        <v>10.463727272727272</v>
      </c>
      <c r="T83" s="10">
        <f t="shared" ref="T83:T146" si="6">((100000*S83*12%/2.205))/((4.66*16)/10.764)</f>
        <v>8221.0417479516182</v>
      </c>
      <c r="U83" s="11">
        <f>T83/1.121</f>
        <v>7333.6679285919881</v>
      </c>
      <c r="V83" s="10">
        <v>72.16</v>
      </c>
      <c r="W83" s="10">
        <v>45.9</v>
      </c>
      <c r="X83" s="7"/>
    </row>
    <row r="84" spans="1:24" x14ac:dyDescent="0.25">
      <c r="A84" s="7">
        <v>2024</v>
      </c>
      <c r="B84" s="6" t="s">
        <v>125</v>
      </c>
      <c r="C84" s="6" t="s">
        <v>126</v>
      </c>
      <c r="D84" s="6" t="s">
        <v>127</v>
      </c>
      <c r="E84" s="8" t="s">
        <v>128</v>
      </c>
      <c r="F84" s="6" t="s">
        <v>131</v>
      </c>
      <c r="G84" s="6">
        <v>103</v>
      </c>
      <c r="H84" s="6">
        <v>3</v>
      </c>
      <c r="I84" s="6">
        <v>1</v>
      </c>
      <c r="J84" s="6">
        <v>1</v>
      </c>
      <c r="K84" s="6">
        <v>3</v>
      </c>
      <c r="L84" t="s">
        <v>252</v>
      </c>
      <c r="M84" s="8" t="s">
        <v>31</v>
      </c>
      <c r="N84" s="8" t="s">
        <v>58</v>
      </c>
      <c r="O84" s="9" t="s">
        <v>259</v>
      </c>
      <c r="P84" s="6">
        <v>8.6999999999999993</v>
      </c>
      <c r="Q84" s="6">
        <v>12</v>
      </c>
      <c r="R84" s="6">
        <v>44</v>
      </c>
      <c r="S84" s="15">
        <f t="shared" ref="S84:S147" si="7">P84*(1-Q84/100)/(1-0.12)</f>
        <v>8.6999999999999993</v>
      </c>
      <c r="T84" s="10">
        <f t="shared" si="6"/>
        <v>6835.3332749408755</v>
      </c>
      <c r="U84" s="11">
        <f t="shared" ref="U84:U137" si="8">T84/1.121</f>
        <v>6097.5319134173733</v>
      </c>
      <c r="V84" s="10">
        <v>72.45</v>
      </c>
      <c r="W84" s="10">
        <v>51.12</v>
      </c>
      <c r="X84" s="7"/>
    </row>
    <row r="85" spans="1:24" x14ac:dyDescent="0.25">
      <c r="A85" s="7">
        <v>2024</v>
      </c>
      <c r="B85" s="6" t="s">
        <v>125</v>
      </c>
      <c r="C85" s="6" t="s">
        <v>126</v>
      </c>
      <c r="D85" s="6" t="s">
        <v>127</v>
      </c>
      <c r="E85" s="8" t="s">
        <v>128</v>
      </c>
      <c r="F85" s="6" t="s">
        <v>132</v>
      </c>
      <c r="G85" s="6">
        <v>104</v>
      </c>
      <c r="H85" s="6">
        <v>4</v>
      </c>
      <c r="I85" s="6">
        <v>1</v>
      </c>
      <c r="J85" s="6">
        <v>1</v>
      </c>
      <c r="K85" s="6">
        <v>4</v>
      </c>
      <c r="L85" t="s">
        <v>252</v>
      </c>
      <c r="M85" s="8" t="s">
        <v>31</v>
      </c>
      <c r="N85" s="8" t="s">
        <v>60</v>
      </c>
      <c r="O85" s="9" t="s">
        <v>259</v>
      </c>
      <c r="P85" s="6">
        <v>10.48</v>
      </c>
      <c r="Q85" s="6">
        <v>11.7</v>
      </c>
      <c r="R85" s="6">
        <v>44.1</v>
      </c>
      <c r="S85" s="15">
        <f t="shared" si="7"/>
        <v>10.515727272727274</v>
      </c>
      <c r="T85" s="10">
        <f t="shared" si="6"/>
        <v>8261.8966135029877</v>
      </c>
      <c r="U85" s="11">
        <f t="shared" si="8"/>
        <v>7370.1129469250563</v>
      </c>
      <c r="V85" s="10">
        <v>73.03</v>
      </c>
      <c r="W85" s="10">
        <v>53.13</v>
      </c>
      <c r="X85" s="7"/>
    </row>
    <row r="86" spans="1:24" x14ac:dyDescent="0.25">
      <c r="A86" s="7">
        <v>2024</v>
      </c>
      <c r="B86" s="6" t="s">
        <v>125</v>
      </c>
      <c r="C86" s="6" t="s">
        <v>126</v>
      </c>
      <c r="D86" s="6" t="s">
        <v>127</v>
      </c>
      <c r="E86" s="8" t="s">
        <v>128</v>
      </c>
      <c r="F86" s="6" t="s">
        <v>133</v>
      </c>
      <c r="G86" s="6">
        <v>105</v>
      </c>
      <c r="H86" s="6">
        <v>5</v>
      </c>
      <c r="I86" s="6">
        <v>1</v>
      </c>
      <c r="J86" s="6">
        <v>1</v>
      </c>
      <c r="K86" s="6">
        <v>5</v>
      </c>
      <c r="L86" t="s">
        <v>252</v>
      </c>
      <c r="M86" s="8" t="s">
        <v>31</v>
      </c>
      <c r="N86" s="8" t="s">
        <v>62</v>
      </c>
      <c r="O86" s="9" t="s">
        <v>259</v>
      </c>
      <c r="P86" s="6">
        <v>11.51</v>
      </c>
      <c r="Q86" s="6">
        <v>11.2</v>
      </c>
      <c r="R86" s="6">
        <v>44.2</v>
      </c>
      <c r="S86" s="15">
        <f t="shared" si="7"/>
        <v>11.614636363636363</v>
      </c>
      <c r="T86" s="10">
        <f t="shared" si="6"/>
        <v>9125.2770589312586</v>
      </c>
      <c r="U86" s="11">
        <f t="shared" si="8"/>
        <v>8140.3006770127195</v>
      </c>
      <c r="V86" s="10">
        <v>72.86</v>
      </c>
      <c r="W86" s="10">
        <v>49.08</v>
      </c>
      <c r="X86" s="7"/>
    </row>
    <row r="87" spans="1:24" x14ac:dyDescent="0.25">
      <c r="A87" s="7">
        <v>2024</v>
      </c>
      <c r="B87" s="6" t="s">
        <v>125</v>
      </c>
      <c r="C87" s="6" t="s">
        <v>126</v>
      </c>
      <c r="D87" s="6" t="s">
        <v>127</v>
      </c>
      <c r="E87" s="8" t="s">
        <v>128</v>
      </c>
      <c r="F87" s="6" t="s">
        <v>134</v>
      </c>
      <c r="G87" s="6">
        <v>106</v>
      </c>
      <c r="H87" s="6">
        <v>6</v>
      </c>
      <c r="I87" s="6">
        <v>1</v>
      </c>
      <c r="J87" s="6">
        <v>1</v>
      </c>
      <c r="K87" s="6">
        <v>6</v>
      </c>
      <c r="L87" t="s">
        <v>252</v>
      </c>
      <c r="M87" s="8" t="s">
        <v>31</v>
      </c>
      <c r="N87" s="8" t="s">
        <v>59</v>
      </c>
      <c r="O87" s="9" t="s">
        <v>259</v>
      </c>
      <c r="P87" s="6">
        <v>11.39</v>
      </c>
      <c r="Q87" s="6">
        <v>11.4</v>
      </c>
      <c r="R87" s="6">
        <v>44.6</v>
      </c>
      <c r="S87" s="15">
        <f t="shared" si="7"/>
        <v>11.467659090909091</v>
      </c>
      <c r="T87" s="10">
        <f t="shared" si="6"/>
        <v>9009.8013528470292</v>
      </c>
      <c r="U87" s="11">
        <f t="shared" si="8"/>
        <v>8037.2893424148342</v>
      </c>
      <c r="V87" s="10">
        <v>72.42</v>
      </c>
      <c r="W87" s="10">
        <v>51.03</v>
      </c>
      <c r="X87" s="7"/>
    </row>
    <row r="88" spans="1:24" x14ac:dyDescent="0.25">
      <c r="A88" s="7">
        <v>2024</v>
      </c>
      <c r="B88" s="6" t="s">
        <v>125</v>
      </c>
      <c r="C88" s="6" t="s">
        <v>126</v>
      </c>
      <c r="D88" s="6" t="s">
        <v>127</v>
      </c>
      <c r="E88" s="8" t="s">
        <v>128</v>
      </c>
      <c r="F88" s="6" t="s">
        <v>135</v>
      </c>
      <c r="G88" s="6">
        <v>107</v>
      </c>
      <c r="H88" s="6">
        <v>7</v>
      </c>
      <c r="I88" s="6">
        <v>1</v>
      </c>
      <c r="J88" s="6">
        <v>1</v>
      </c>
      <c r="K88" s="6">
        <v>7</v>
      </c>
      <c r="L88" t="s">
        <v>252</v>
      </c>
      <c r="M88" s="8" t="s">
        <v>31</v>
      </c>
      <c r="N88" s="8" t="s">
        <v>61</v>
      </c>
      <c r="O88" s="9" t="s">
        <v>259</v>
      </c>
      <c r="P88" s="6">
        <v>8.4700000000000006</v>
      </c>
      <c r="Q88" s="6">
        <v>12.5</v>
      </c>
      <c r="R88" s="6">
        <v>45.3</v>
      </c>
      <c r="S88" s="15">
        <f t="shared" si="7"/>
        <v>8.421875</v>
      </c>
      <c r="T88" s="10">
        <f t="shared" si="6"/>
        <v>6616.8186695278964</v>
      </c>
      <c r="U88" s="11">
        <f t="shared" si="8"/>
        <v>5902.6036302657421</v>
      </c>
      <c r="V88" s="10">
        <v>70.319999999999993</v>
      </c>
      <c r="W88" s="10">
        <v>48.79</v>
      </c>
      <c r="X88" s="7"/>
    </row>
    <row r="89" spans="1:24" x14ac:dyDescent="0.25">
      <c r="A89" s="7">
        <v>2024</v>
      </c>
      <c r="B89" s="6" t="s">
        <v>125</v>
      </c>
      <c r="C89" s="6" t="s">
        <v>126</v>
      </c>
      <c r="D89" s="6" t="s">
        <v>127</v>
      </c>
      <c r="E89" s="8" t="s">
        <v>128</v>
      </c>
      <c r="F89" s="6" t="s">
        <v>136</v>
      </c>
      <c r="G89" s="6">
        <v>108</v>
      </c>
      <c r="H89" s="6">
        <v>1</v>
      </c>
      <c r="I89" s="6">
        <v>2</v>
      </c>
      <c r="J89" s="6">
        <v>1</v>
      </c>
      <c r="K89" s="6">
        <v>9</v>
      </c>
      <c r="L89" t="s">
        <v>252</v>
      </c>
      <c r="M89" s="8" t="s">
        <v>137</v>
      </c>
      <c r="N89" s="8" t="s">
        <v>470</v>
      </c>
      <c r="O89" s="9" t="s">
        <v>468</v>
      </c>
      <c r="P89" s="6">
        <v>10.029999999999999</v>
      </c>
      <c r="Q89" s="6">
        <v>11.9</v>
      </c>
      <c r="R89" s="6">
        <v>43.5</v>
      </c>
      <c r="S89" s="15">
        <f t="shared" si="7"/>
        <v>10.041397727272727</v>
      </c>
      <c r="T89" s="10">
        <f t="shared" si="6"/>
        <v>7889.2298864532149</v>
      </c>
      <c r="U89" s="11">
        <f t="shared" si="8"/>
        <v>7037.6716203864544</v>
      </c>
      <c r="V89" s="10">
        <v>72.2</v>
      </c>
      <c r="W89" s="10">
        <v>46.61</v>
      </c>
      <c r="X89" s="7"/>
    </row>
    <row r="90" spans="1:24" x14ac:dyDescent="0.25">
      <c r="A90" s="7">
        <v>2024</v>
      </c>
      <c r="B90" s="6" t="s">
        <v>125</v>
      </c>
      <c r="C90" s="6" t="s">
        <v>126</v>
      </c>
      <c r="D90" s="6" t="s">
        <v>127</v>
      </c>
      <c r="E90" s="8" t="s">
        <v>128</v>
      </c>
      <c r="F90" s="6" t="s">
        <v>138</v>
      </c>
      <c r="G90" s="6">
        <v>109</v>
      </c>
      <c r="H90" s="6">
        <v>2</v>
      </c>
      <c r="I90" s="6">
        <v>2</v>
      </c>
      <c r="J90" s="6">
        <v>1</v>
      </c>
      <c r="K90" s="6">
        <v>10</v>
      </c>
      <c r="L90" t="s">
        <v>252</v>
      </c>
      <c r="M90" s="8" t="s">
        <v>137</v>
      </c>
      <c r="N90" s="8" t="s">
        <v>58</v>
      </c>
      <c r="O90" s="9" t="s">
        <v>468</v>
      </c>
      <c r="P90" s="6">
        <v>10.54</v>
      </c>
      <c r="Q90" s="6">
        <v>11.7</v>
      </c>
      <c r="R90" s="6">
        <v>44</v>
      </c>
      <c r="S90" s="15">
        <f t="shared" si="7"/>
        <v>10.575931818181818</v>
      </c>
      <c r="T90" s="10">
        <f t="shared" si="6"/>
        <v>8309.1975483131209</v>
      </c>
      <c r="U90" s="11">
        <f t="shared" si="8"/>
        <v>7412.3082500563078</v>
      </c>
      <c r="V90" s="10">
        <v>72.56</v>
      </c>
      <c r="W90" s="10">
        <v>49.57</v>
      </c>
      <c r="X90" s="7"/>
    </row>
    <row r="91" spans="1:24" x14ac:dyDescent="0.25">
      <c r="A91" s="7">
        <v>2024</v>
      </c>
      <c r="B91" s="6" t="s">
        <v>125</v>
      </c>
      <c r="C91" s="6" t="s">
        <v>126</v>
      </c>
      <c r="D91" s="6" t="s">
        <v>127</v>
      </c>
      <c r="E91" s="8" t="s">
        <v>128</v>
      </c>
      <c r="F91" s="6" t="s">
        <v>139</v>
      </c>
      <c r="G91" s="6">
        <v>110</v>
      </c>
      <c r="H91" s="6">
        <v>3</v>
      </c>
      <c r="I91" s="6">
        <v>2</v>
      </c>
      <c r="J91" s="6">
        <v>1</v>
      </c>
      <c r="K91" s="6">
        <v>11</v>
      </c>
      <c r="L91" t="s">
        <v>252</v>
      </c>
      <c r="M91" s="8" t="s">
        <v>137</v>
      </c>
      <c r="N91" s="8" t="s">
        <v>60</v>
      </c>
      <c r="O91" s="9" t="s">
        <v>468</v>
      </c>
      <c r="P91" s="6">
        <v>9.9700000000000006</v>
      </c>
      <c r="Q91" s="6">
        <v>11.4</v>
      </c>
      <c r="R91" s="6">
        <v>44.4</v>
      </c>
      <c r="S91" s="15">
        <f t="shared" si="7"/>
        <v>10.037977272727273</v>
      </c>
      <c r="T91" s="10">
        <f t="shared" si="6"/>
        <v>7886.5425362497699</v>
      </c>
      <c r="U91" s="11">
        <f t="shared" si="8"/>
        <v>7035.2743409899822</v>
      </c>
      <c r="V91" s="10">
        <v>72.52</v>
      </c>
      <c r="W91" s="10">
        <v>48.84</v>
      </c>
      <c r="X91" s="7"/>
    </row>
    <row r="92" spans="1:24" x14ac:dyDescent="0.25">
      <c r="A92" s="7">
        <v>2024</v>
      </c>
      <c r="B92" s="6" t="s">
        <v>125</v>
      </c>
      <c r="C92" s="6" t="s">
        <v>126</v>
      </c>
      <c r="D92" s="6" t="s">
        <v>127</v>
      </c>
      <c r="E92" s="8" t="s">
        <v>128</v>
      </c>
      <c r="F92" s="6" t="s">
        <v>140</v>
      </c>
      <c r="G92" s="6">
        <v>111</v>
      </c>
      <c r="H92" s="6">
        <v>4</v>
      </c>
      <c r="I92" s="6">
        <v>2</v>
      </c>
      <c r="J92" s="6">
        <v>1</v>
      </c>
      <c r="K92" s="6">
        <v>12</v>
      </c>
      <c r="L92" t="s">
        <v>252</v>
      </c>
      <c r="M92" s="8" t="s">
        <v>137</v>
      </c>
      <c r="N92" s="8" t="s">
        <v>62</v>
      </c>
      <c r="O92" s="9" t="s">
        <v>468</v>
      </c>
      <c r="P92" s="6">
        <v>10.72</v>
      </c>
      <c r="Q92" s="6">
        <v>11.5</v>
      </c>
      <c r="R92" s="6">
        <v>44.4</v>
      </c>
      <c r="S92" s="15">
        <f t="shared" si="7"/>
        <v>10.780909090909093</v>
      </c>
      <c r="T92" s="10">
        <f t="shared" si="6"/>
        <v>8470.2421428969574</v>
      </c>
      <c r="U92" s="11">
        <f t="shared" si="8"/>
        <v>7555.9697974103101</v>
      </c>
      <c r="V92" s="10">
        <v>72.790000000000006</v>
      </c>
      <c r="W92" s="10">
        <v>50.51</v>
      </c>
      <c r="X92" s="7"/>
    </row>
    <row r="93" spans="1:24" x14ac:dyDescent="0.25">
      <c r="A93" s="7">
        <v>2024</v>
      </c>
      <c r="B93" s="6" t="s">
        <v>125</v>
      </c>
      <c r="C93" s="6" t="s">
        <v>126</v>
      </c>
      <c r="D93" s="6" t="s">
        <v>127</v>
      </c>
      <c r="E93" s="8" t="s">
        <v>128</v>
      </c>
      <c r="F93" s="6" t="s">
        <v>141</v>
      </c>
      <c r="G93" s="6">
        <v>112</v>
      </c>
      <c r="H93" s="6">
        <v>5</v>
      </c>
      <c r="I93" s="6">
        <v>2</v>
      </c>
      <c r="J93" s="6">
        <v>1</v>
      </c>
      <c r="K93" s="6">
        <v>13</v>
      </c>
      <c r="L93" t="s">
        <v>252</v>
      </c>
      <c r="M93" s="8" t="s">
        <v>137</v>
      </c>
      <c r="N93" s="8" t="s">
        <v>59</v>
      </c>
      <c r="O93" s="9" t="s">
        <v>468</v>
      </c>
      <c r="P93" s="6">
        <v>10.79</v>
      </c>
      <c r="Q93" s="6">
        <v>12</v>
      </c>
      <c r="R93" s="6">
        <v>44.3</v>
      </c>
      <c r="S93" s="15">
        <f t="shared" si="7"/>
        <v>10.79</v>
      </c>
      <c r="T93" s="10">
        <f t="shared" si="6"/>
        <v>8477.3846019094326</v>
      </c>
      <c r="U93" s="11">
        <f t="shared" si="8"/>
        <v>7562.3413041118938</v>
      </c>
      <c r="V93" s="10">
        <v>73.05</v>
      </c>
      <c r="W93" s="10">
        <v>51.86</v>
      </c>
      <c r="X93" s="7"/>
    </row>
    <row r="94" spans="1:24" x14ac:dyDescent="0.25">
      <c r="A94" s="7">
        <v>2024</v>
      </c>
      <c r="B94" s="6" t="s">
        <v>125</v>
      </c>
      <c r="C94" s="6" t="s">
        <v>126</v>
      </c>
      <c r="D94" s="6" t="s">
        <v>127</v>
      </c>
      <c r="E94" s="8" t="s">
        <v>128</v>
      </c>
      <c r="F94" s="6" t="s">
        <v>142</v>
      </c>
      <c r="G94" s="6">
        <v>113</v>
      </c>
      <c r="H94" s="6">
        <v>6</v>
      </c>
      <c r="I94" s="6">
        <v>2</v>
      </c>
      <c r="J94" s="6">
        <v>1</v>
      </c>
      <c r="K94" s="6">
        <v>14</v>
      </c>
      <c r="L94" t="s">
        <v>252</v>
      </c>
      <c r="M94" s="8" t="s">
        <v>137</v>
      </c>
      <c r="N94" s="8" t="s">
        <v>61</v>
      </c>
      <c r="O94" s="9" t="s">
        <v>468</v>
      </c>
      <c r="P94" s="6">
        <v>10.36</v>
      </c>
      <c r="Q94" s="6">
        <v>12.2</v>
      </c>
      <c r="R94" s="6">
        <v>44.6</v>
      </c>
      <c r="S94" s="15">
        <f t="shared" si="7"/>
        <v>10.336454545454544</v>
      </c>
      <c r="T94" s="10">
        <f t="shared" si="6"/>
        <v>8121.0473217769331</v>
      </c>
      <c r="U94" s="11">
        <f t="shared" si="8"/>
        <v>7244.4668347697889</v>
      </c>
      <c r="V94" s="10">
        <v>72.58</v>
      </c>
      <c r="W94" s="10">
        <v>51.72</v>
      </c>
      <c r="X94" s="7"/>
    </row>
    <row r="95" spans="1:24" x14ac:dyDescent="0.25">
      <c r="A95" s="7">
        <v>2024</v>
      </c>
      <c r="B95" s="6" t="s">
        <v>125</v>
      </c>
      <c r="C95" s="6" t="s">
        <v>126</v>
      </c>
      <c r="D95" s="6" t="s">
        <v>127</v>
      </c>
      <c r="E95" s="8" t="s">
        <v>128</v>
      </c>
      <c r="F95" s="6" t="s">
        <v>143</v>
      </c>
      <c r="G95" s="6">
        <v>114</v>
      </c>
      <c r="H95" s="6">
        <v>7</v>
      </c>
      <c r="I95" s="6">
        <v>2</v>
      </c>
      <c r="J95" s="6">
        <v>1</v>
      </c>
      <c r="K95" s="6">
        <v>8</v>
      </c>
      <c r="L95" t="s">
        <v>252</v>
      </c>
      <c r="M95" s="8" t="s">
        <v>33</v>
      </c>
      <c r="N95" s="8" t="s">
        <v>58</v>
      </c>
      <c r="O95" s="9" t="s">
        <v>467</v>
      </c>
      <c r="P95" s="6">
        <v>9.42</v>
      </c>
      <c r="Q95" s="6">
        <v>11.2</v>
      </c>
      <c r="R95" s="6">
        <v>43.8</v>
      </c>
      <c r="S95" s="15">
        <f t="shared" si="7"/>
        <v>9.5056363636363628</v>
      </c>
      <c r="T95" s="10">
        <f t="shared" si="6"/>
        <v>7468.2979926266235</v>
      </c>
      <c r="U95" s="11">
        <f t="shared" si="8"/>
        <v>6662.1748373118853</v>
      </c>
      <c r="V95" s="10">
        <v>72.37</v>
      </c>
      <c r="W95" s="10">
        <v>48.65</v>
      </c>
      <c r="X95" s="7"/>
    </row>
    <row r="96" spans="1:24" x14ac:dyDescent="0.25">
      <c r="A96" s="7">
        <v>2024</v>
      </c>
      <c r="B96" s="6" t="s">
        <v>125</v>
      </c>
      <c r="C96" s="6" t="s">
        <v>126</v>
      </c>
      <c r="D96" s="6" t="s">
        <v>127</v>
      </c>
      <c r="E96" s="8" t="s">
        <v>128</v>
      </c>
      <c r="F96" s="6" t="s">
        <v>144</v>
      </c>
      <c r="G96" s="6">
        <v>201</v>
      </c>
      <c r="H96" s="6">
        <v>1</v>
      </c>
      <c r="I96" s="6">
        <v>3</v>
      </c>
      <c r="J96" s="6">
        <v>2</v>
      </c>
      <c r="K96" s="6">
        <v>12</v>
      </c>
      <c r="L96" t="s">
        <v>252</v>
      </c>
      <c r="M96" s="8" t="s">
        <v>137</v>
      </c>
      <c r="N96" s="8" t="s">
        <v>62</v>
      </c>
      <c r="O96" s="9" t="s">
        <v>468</v>
      </c>
      <c r="P96" s="6">
        <v>11.2</v>
      </c>
      <c r="Q96" s="6">
        <v>11.9</v>
      </c>
      <c r="R96" s="6">
        <v>44.5</v>
      </c>
      <c r="S96" s="15">
        <f t="shared" si="7"/>
        <v>11.212727272727271</v>
      </c>
      <c r="T96" s="10">
        <f t="shared" si="6"/>
        <v>8809.5089459896299</v>
      </c>
      <c r="U96" s="11">
        <f t="shared" si="8"/>
        <v>7858.6163657356201</v>
      </c>
      <c r="V96" s="10">
        <v>72.64</v>
      </c>
      <c r="W96" s="10">
        <v>49.26</v>
      </c>
      <c r="X96" s="7"/>
    </row>
    <row r="97" spans="1:24" x14ac:dyDescent="0.25">
      <c r="A97" s="7">
        <v>2024</v>
      </c>
      <c r="B97" s="6" t="s">
        <v>125</v>
      </c>
      <c r="C97" s="6" t="s">
        <v>126</v>
      </c>
      <c r="D97" s="6" t="s">
        <v>127</v>
      </c>
      <c r="E97" s="8" t="s">
        <v>128</v>
      </c>
      <c r="F97" s="6" t="s">
        <v>145</v>
      </c>
      <c r="G97" s="6">
        <v>202</v>
      </c>
      <c r="H97" s="6">
        <v>2</v>
      </c>
      <c r="I97" s="6">
        <v>3</v>
      </c>
      <c r="J97" s="6">
        <v>2</v>
      </c>
      <c r="K97" s="6">
        <v>7</v>
      </c>
      <c r="L97" t="s">
        <v>252</v>
      </c>
      <c r="M97" s="8" t="s">
        <v>31</v>
      </c>
      <c r="N97" s="8" t="s">
        <v>61</v>
      </c>
      <c r="O97" s="9" t="s">
        <v>259</v>
      </c>
      <c r="P97" s="6">
        <v>10.78</v>
      </c>
      <c r="Q97" s="6">
        <v>12.2</v>
      </c>
      <c r="R97" s="6">
        <v>43.7</v>
      </c>
      <c r="S97" s="15">
        <f t="shared" si="7"/>
        <v>10.755499999999998</v>
      </c>
      <c r="T97" s="10">
        <f t="shared" si="6"/>
        <v>8450.2789699570803</v>
      </c>
      <c r="U97" s="11">
        <f t="shared" si="8"/>
        <v>7538.1614361793763</v>
      </c>
      <c r="V97" s="10">
        <v>72.180000000000007</v>
      </c>
      <c r="W97" s="10">
        <v>49.24</v>
      </c>
      <c r="X97" s="7"/>
    </row>
    <row r="98" spans="1:24" x14ac:dyDescent="0.25">
      <c r="A98" s="7">
        <v>2024</v>
      </c>
      <c r="B98" s="6" t="s">
        <v>125</v>
      </c>
      <c r="C98" s="6" t="s">
        <v>126</v>
      </c>
      <c r="D98" s="6" t="s">
        <v>127</v>
      </c>
      <c r="E98" s="8" t="s">
        <v>128</v>
      </c>
      <c r="F98" s="6" t="s">
        <v>146</v>
      </c>
      <c r="G98" s="6">
        <v>203</v>
      </c>
      <c r="H98" s="6">
        <v>3</v>
      </c>
      <c r="I98" s="6">
        <v>3</v>
      </c>
      <c r="J98" s="6">
        <v>2</v>
      </c>
      <c r="K98" s="6">
        <v>13</v>
      </c>
      <c r="L98" t="s">
        <v>252</v>
      </c>
      <c r="M98" s="8" t="s">
        <v>137</v>
      </c>
      <c r="N98" s="8" t="s">
        <v>59</v>
      </c>
      <c r="O98" s="9" t="s">
        <v>468</v>
      </c>
      <c r="P98" s="6">
        <v>10.83</v>
      </c>
      <c r="Q98" s="6">
        <v>12.2</v>
      </c>
      <c r="R98" s="6">
        <v>44.4</v>
      </c>
      <c r="S98" s="15">
        <f t="shared" si="7"/>
        <v>10.805386363636362</v>
      </c>
      <c r="T98" s="10">
        <f t="shared" si="6"/>
        <v>8489.4732137880492</v>
      </c>
      <c r="U98" s="11">
        <f t="shared" si="8"/>
        <v>7573.1250792043256</v>
      </c>
      <c r="V98" s="10">
        <v>72.39</v>
      </c>
      <c r="W98" s="10">
        <v>49.67</v>
      </c>
      <c r="X98" s="7"/>
    </row>
    <row r="99" spans="1:24" x14ac:dyDescent="0.25">
      <c r="A99" s="7">
        <v>2024</v>
      </c>
      <c r="B99" s="6" t="s">
        <v>125</v>
      </c>
      <c r="C99" s="6" t="s">
        <v>126</v>
      </c>
      <c r="D99" s="6" t="s">
        <v>127</v>
      </c>
      <c r="E99" s="8" t="s">
        <v>128</v>
      </c>
      <c r="F99" s="6" t="s">
        <v>147</v>
      </c>
      <c r="G99" s="6">
        <v>204</v>
      </c>
      <c r="H99" s="6">
        <v>4</v>
      </c>
      <c r="I99" s="6">
        <v>3</v>
      </c>
      <c r="J99" s="6">
        <v>2</v>
      </c>
      <c r="K99" s="6">
        <v>2</v>
      </c>
      <c r="L99" t="s">
        <v>252</v>
      </c>
      <c r="M99" s="8" t="s">
        <v>31</v>
      </c>
      <c r="N99" s="8" t="s">
        <v>470</v>
      </c>
      <c r="O99" s="9" t="s">
        <v>259</v>
      </c>
      <c r="P99" s="6">
        <v>9.83</v>
      </c>
      <c r="Q99" s="6">
        <v>11.4</v>
      </c>
      <c r="R99" s="6">
        <v>44.3</v>
      </c>
      <c r="S99" s="15">
        <f t="shared" si="7"/>
        <v>9.8970227272727271</v>
      </c>
      <c r="T99" s="10">
        <f t="shared" si="6"/>
        <v>7775.7987092613084</v>
      </c>
      <c r="U99" s="11">
        <f t="shared" si="8"/>
        <v>6936.4841295818987</v>
      </c>
      <c r="V99" s="10">
        <v>72.11</v>
      </c>
      <c r="W99" s="10">
        <v>47.95</v>
      </c>
      <c r="X99" s="7"/>
    </row>
    <row r="100" spans="1:24" x14ac:dyDescent="0.25">
      <c r="A100" s="7">
        <v>2024</v>
      </c>
      <c r="B100" s="6" t="s">
        <v>125</v>
      </c>
      <c r="C100" s="6" t="s">
        <v>126</v>
      </c>
      <c r="D100" s="6" t="s">
        <v>127</v>
      </c>
      <c r="E100" s="8" t="s">
        <v>128</v>
      </c>
      <c r="F100" s="6" t="s">
        <v>148</v>
      </c>
      <c r="G100" s="6">
        <v>205</v>
      </c>
      <c r="H100" s="6">
        <v>5</v>
      </c>
      <c r="I100" s="6">
        <v>3</v>
      </c>
      <c r="J100" s="6">
        <v>2</v>
      </c>
      <c r="K100" s="6">
        <v>4</v>
      </c>
      <c r="L100" t="s">
        <v>252</v>
      </c>
      <c r="M100" s="8" t="s">
        <v>31</v>
      </c>
      <c r="N100" s="8" t="s">
        <v>60</v>
      </c>
      <c r="O100" s="9" t="s">
        <v>259</v>
      </c>
      <c r="P100" s="6">
        <v>11.46</v>
      </c>
      <c r="Q100" s="6">
        <v>10.9</v>
      </c>
      <c r="R100" s="6">
        <v>43.8</v>
      </c>
      <c r="S100" s="15">
        <f t="shared" si="7"/>
        <v>11.603250000000001</v>
      </c>
      <c r="T100" s="10">
        <f t="shared" si="6"/>
        <v>9116.33112901813</v>
      </c>
      <c r="U100" s="11">
        <f t="shared" si="8"/>
        <v>8132.3203648689832</v>
      </c>
      <c r="V100" s="10">
        <v>73.11</v>
      </c>
      <c r="W100" s="10">
        <v>48.85</v>
      </c>
      <c r="X100" s="7"/>
    </row>
    <row r="101" spans="1:24" x14ac:dyDescent="0.25">
      <c r="A101" s="7">
        <v>2024</v>
      </c>
      <c r="B101" s="6" t="s">
        <v>125</v>
      </c>
      <c r="C101" s="6" t="s">
        <v>126</v>
      </c>
      <c r="D101" s="6" t="s">
        <v>127</v>
      </c>
      <c r="E101" s="8" t="s">
        <v>128</v>
      </c>
      <c r="F101" s="6" t="s">
        <v>149</v>
      </c>
      <c r="G101" s="6">
        <v>206</v>
      </c>
      <c r="H101" s="6">
        <v>6</v>
      </c>
      <c r="I101" s="6">
        <v>3</v>
      </c>
      <c r="J101" s="6">
        <v>2</v>
      </c>
      <c r="K101" s="6">
        <v>5</v>
      </c>
      <c r="L101" t="s">
        <v>252</v>
      </c>
      <c r="M101" s="8" t="s">
        <v>31</v>
      </c>
      <c r="N101" s="8" t="s">
        <v>62</v>
      </c>
      <c r="O101" s="9" t="s">
        <v>259</v>
      </c>
      <c r="P101" s="6">
        <v>10.58</v>
      </c>
      <c r="Q101" s="6">
        <v>11.6</v>
      </c>
      <c r="R101" s="6">
        <v>46.2</v>
      </c>
      <c r="S101" s="15">
        <f t="shared" si="7"/>
        <v>10.628090909090909</v>
      </c>
      <c r="T101" s="10">
        <f t="shared" si="6"/>
        <v>8350.1774068972118</v>
      </c>
      <c r="U101" s="11">
        <f t="shared" si="8"/>
        <v>7448.8647697566566</v>
      </c>
      <c r="V101" s="10">
        <v>72.86</v>
      </c>
      <c r="W101" s="10">
        <v>47.18</v>
      </c>
      <c r="X101" s="7"/>
    </row>
    <row r="102" spans="1:24" x14ac:dyDescent="0.25">
      <c r="A102" s="7">
        <v>2024</v>
      </c>
      <c r="B102" s="6" t="s">
        <v>125</v>
      </c>
      <c r="C102" s="6" t="s">
        <v>126</v>
      </c>
      <c r="D102" s="6" t="s">
        <v>127</v>
      </c>
      <c r="E102" s="8" t="s">
        <v>128</v>
      </c>
      <c r="F102" s="6" t="s">
        <v>150</v>
      </c>
      <c r="G102" s="6">
        <v>207</v>
      </c>
      <c r="H102" s="6">
        <v>7</v>
      </c>
      <c r="I102" s="6">
        <v>3</v>
      </c>
      <c r="J102" s="6">
        <v>2</v>
      </c>
      <c r="K102" s="6">
        <v>14</v>
      </c>
      <c r="L102" t="s">
        <v>252</v>
      </c>
      <c r="M102" s="8" t="s">
        <v>137</v>
      </c>
      <c r="N102" s="8" t="s">
        <v>61</v>
      </c>
      <c r="O102" s="9" t="s">
        <v>468</v>
      </c>
      <c r="P102" s="6">
        <v>9.9</v>
      </c>
      <c r="Q102" s="6">
        <v>11.6</v>
      </c>
      <c r="R102" s="6">
        <v>44.2</v>
      </c>
      <c r="S102" s="15">
        <f t="shared" si="7"/>
        <v>9.9450000000000003</v>
      </c>
      <c r="T102" s="10">
        <f t="shared" si="6"/>
        <v>7813.4930366996578</v>
      </c>
      <c r="U102" s="11">
        <f t="shared" si="8"/>
        <v>6970.1097561995166</v>
      </c>
      <c r="V102" s="10">
        <v>72.34</v>
      </c>
      <c r="W102" s="10">
        <v>48.64</v>
      </c>
      <c r="X102" s="7"/>
    </row>
    <row r="103" spans="1:24" x14ac:dyDescent="0.25">
      <c r="A103" s="7">
        <v>2024</v>
      </c>
      <c r="B103" s="6" t="s">
        <v>125</v>
      </c>
      <c r="C103" s="6" t="s">
        <v>126</v>
      </c>
      <c r="D103" s="6" t="s">
        <v>127</v>
      </c>
      <c r="E103" s="8" t="s">
        <v>128</v>
      </c>
      <c r="F103" s="6" t="s">
        <v>151</v>
      </c>
      <c r="G103" s="6">
        <v>208</v>
      </c>
      <c r="H103" s="6">
        <v>1</v>
      </c>
      <c r="I103" s="6">
        <v>4</v>
      </c>
      <c r="J103" s="6">
        <v>2</v>
      </c>
      <c r="K103" s="6">
        <v>11</v>
      </c>
      <c r="L103" t="s">
        <v>252</v>
      </c>
      <c r="M103" s="8" t="s">
        <v>137</v>
      </c>
      <c r="N103" s="8" t="s">
        <v>60</v>
      </c>
      <c r="O103" s="9" t="s">
        <v>468</v>
      </c>
      <c r="P103" s="6">
        <v>9.8800000000000008</v>
      </c>
      <c r="Q103" s="6">
        <v>10.8</v>
      </c>
      <c r="R103" s="6">
        <v>45.8</v>
      </c>
      <c r="S103" s="15">
        <f t="shared" si="7"/>
        <v>10.014727272727272</v>
      </c>
      <c r="T103" s="10">
        <f t="shared" si="6"/>
        <v>7868.275697325359</v>
      </c>
      <c r="U103" s="11">
        <f t="shared" si="8"/>
        <v>7018.9792126006769</v>
      </c>
      <c r="V103" s="10">
        <v>72.73</v>
      </c>
      <c r="W103" s="10">
        <v>47.39</v>
      </c>
      <c r="X103" s="7"/>
    </row>
    <row r="104" spans="1:24" x14ac:dyDescent="0.25">
      <c r="A104" s="7">
        <v>2024</v>
      </c>
      <c r="B104" s="6" t="s">
        <v>125</v>
      </c>
      <c r="C104" s="6" t="s">
        <v>126</v>
      </c>
      <c r="D104" s="6" t="s">
        <v>127</v>
      </c>
      <c r="E104" s="8" t="s">
        <v>128</v>
      </c>
      <c r="F104" s="6" t="s">
        <v>152</v>
      </c>
      <c r="G104" s="6">
        <v>209</v>
      </c>
      <c r="H104" s="6">
        <v>2</v>
      </c>
      <c r="I104" s="6">
        <v>4</v>
      </c>
      <c r="J104" s="6">
        <v>2</v>
      </c>
      <c r="K104" s="6">
        <v>10</v>
      </c>
      <c r="L104" t="s">
        <v>252</v>
      </c>
      <c r="M104" s="8" t="s">
        <v>137</v>
      </c>
      <c r="N104" s="8" t="s">
        <v>58</v>
      </c>
      <c r="O104" s="9" t="s">
        <v>468</v>
      </c>
      <c r="P104" s="6">
        <v>10.02</v>
      </c>
      <c r="Q104" s="6">
        <v>11</v>
      </c>
      <c r="R104" s="6">
        <v>43.8</v>
      </c>
      <c r="S104" s="15">
        <f t="shared" si="7"/>
        <v>10.133863636363635</v>
      </c>
      <c r="T104" s="10">
        <f t="shared" si="6"/>
        <v>7961.8776226838745</v>
      </c>
      <c r="U104" s="11">
        <f t="shared" si="8"/>
        <v>7102.4778079249554</v>
      </c>
      <c r="V104" s="10">
        <v>72.78</v>
      </c>
      <c r="W104" s="10">
        <v>47.58</v>
      </c>
      <c r="X104" s="7"/>
    </row>
    <row r="105" spans="1:24" x14ac:dyDescent="0.25">
      <c r="A105" s="7">
        <v>2024</v>
      </c>
      <c r="B105" s="6" t="s">
        <v>125</v>
      </c>
      <c r="C105" s="6" t="s">
        <v>126</v>
      </c>
      <c r="D105" s="6" t="s">
        <v>127</v>
      </c>
      <c r="E105" s="8" t="s">
        <v>128</v>
      </c>
      <c r="F105" s="6" t="s">
        <v>153</v>
      </c>
      <c r="G105" s="6">
        <v>210</v>
      </c>
      <c r="H105" s="6">
        <v>3</v>
      </c>
      <c r="I105" s="6">
        <v>4</v>
      </c>
      <c r="J105" s="6">
        <v>2</v>
      </c>
      <c r="K105" s="6">
        <v>9</v>
      </c>
      <c r="L105" t="s">
        <v>252</v>
      </c>
      <c r="M105" s="8" t="s">
        <v>137</v>
      </c>
      <c r="N105" s="8" t="s">
        <v>470</v>
      </c>
      <c r="O105" s="9" t="s">
        <v>468</v>
      </c>
      <c r="P105" s="6">
        <v>8.85</v>
      </c>
      <c r="Q105" s="6">
        <v>11.2</v>
      </c>
      <c r="R105" s="6">
        <v>44.3</v>
      </c>
      <c r="S105" s="15">
        <f t="shared" si="7"/>
        <v>8.9304545454545448</v>
      </c>
      <c r="T105" s="10">
        <f t="shared" si="6"/>
        <v>7016.3946109071785</v>
      </c>
      <c r="U105" s="11">
        <f t="shared" si="8"/>
        <v>6259.0496083025682</v>
      </c>
      <c r="V105" s="10">
        <v>72.400000000000006</v>
      </c>
      <c r="W105" s="10">
        <v>49.12</v>
      </c>
      <c r="X105" s="7"/>
    </row>
    <row r="106" spans="1:24" x14ac:dyDescent="0.25">
      <c r="A106" s="7">
        <v>2024</v>
      </c>
      <c r="B106" s="6" t="s">
        <v>125</v>
      </c>
      <c r="C106" s="6" t="s">
        <v>126</v>
      </c>
      <c r="D106" s="6" t="s">
        <v>127</v>
      </c>
      <c r="E106" s="8" t="s">
        <v>128</v>
      </c>
      <c r="F106" s="6" t="s">
        <v>154</v>
      </c>
      <c r="G106" s="6">
        <v>211</v>
      </c>
      <c r="H106" s="6">
        <v>4</v>
      </c>
      <c r="I106" s="6">
        <v>4</v>
      </c>
      <c r="J106" s="6">
        <v>2</v>
      </c>
      <c r="K106" s="6">
        <v>6</v>
      </c>
      <c r="L106" t="s">
        <v>252</v>
      </c>
      <c r="M106" s="8" t="s">
        <v>31</v>
      </c>
      <c r="N106" s="8" t="s">
        <v>59</v>
      </c>
      <c r="O106" s="9" t="s">
        <v>259</v>
      </c>
      <c r="P106" s="6">
        <v>9.23</v>
      </c>
      <c r="Q106" s="6">
        <v>11.7</v>
      </c>
      <c r="R106" s="6">
        <v>44.3</v>
      </c>
      <c r="S106" s="15">
        <f t="shared" si="7"/>
        <v>9.2614659090909104</v>
      </c>
      <c r="T106" s="10">
        <f t="shared" si="6"/>
        <v>7276.4604716252479</v>
      </c>
      <c r="U106" s="11">
        <f t="shared" si="8"/>
        <v>6491.0441316906763</v>
      </c>
      <c r="V106" s="10">
        <v>72.17</v>
      </c>
      <c r="W106" s="10">
        <v>45.74</v>
      </c>
      <c r="X106" s="7"/>
    </row>
    <row r="107" spans="1:24" x14ac:dyDescent="0.25">
      <c r="A107" s="7">
        <v>2024</v>
      </c>
      <c r="B107" s="6" t="s">
        <v>125</v>
      </c>
      <c r="C107" s="6" t="s">
        <v>126</v>
      </c>
      <c r="D107" s="6" t="s">
        <v>127</v>
      </c>
      <c r="E107" s="8" t="s">
        <v>128</v>
      </c>
      <c r="F107" s="6" t="s">
        <v>155</v>
      </c>
      <c r="G107" s="6">
        <v>212</v>
      </c>
      <c r="H107" s="6">
        <v>5</v>
      </c>
      <c r="I107" s="6">
        <v>4</v>
      </c>
      <c r="J107" s="6">
        <v>2</v>
      </c>
      <c r="K107" s="6">
        <v>8</v>
      </c>
      <c r="L107" t="s">
        <v>252</v>
      </c>
      <c r="M107" s="8" t="s">
        <v>33</v>
      </c>
      <c r="N107" s="8" t="s">
        <v>58</v>
      </c>
      <c r="O107" s="9" t="s">
        <v>467</v>
      </c>
      <c r="P107" s="6">
        <v>10.44</v>
      </c>
      <c r="Q107" s="6">
        <v>10.7</v>
      </c>
      <c r="R107" s="6">
        <v>44.3</v>
      </c>
      <c r="S107" s="15">
        <f t="shared" si="7"/>
        <v>10.594227272727272</v>
      </c>
      <c r="T107" s="10">
        <f t="shared" si="6"/>
        <v>8323.5717470757318</v>
      </c>
      <c r="U107" s="11">
        <f t="shared" si="8"/>
        <v>7425.130907293249</v>
      </c>
      <c r="V107" s="10">
        <v>72.849999999999994</v>
      </c>
      <c r="W107" s="10">
        <v>44.11</v>
      </c>
      <c r="X107" s="7"/>
    </row>
    <row r="108" spans="1:24" x14ac:dyDescent="0.25">
      <c r="A108" s="7">
        <v>2024</v>
      </c>
      <c r="B108" s="6" t="s">
        <v>125</v>
      </c>
      <c r="C108" s="6" t="s">
        <v>126</v>
      </c>
      <c r="D108" s="6" t="s">
        <v>127</v>
      </c>
      <c r="E108" s="8" t="s">
        <v>128</v>
      </c>
      <c r="F108" s="6" t="s">
        <v>156</v>
      </c>
      <c r="G108" s="6">
        <v>213</v>
      </c>
      <c r="H108" s="6">
        <v>6</v>
      </c>
      <c r="I108" s="6">
        <v>4</v>
      </c>
      <c r="J108" s="6">
        <v>2</v>
      </c>
      <c r="K108" s="6">
        <v>3</v>
      </c>
      <c r="L108" t="s">
        <v>252</v>
      </c>
      <c r="M108" s="8" t="s">
        <v>31</v>
      </c>
      <c r="N108" s="8" t="s">
        <v>58</v>
      </c>
      <c r="O108" s="9" t="s">
        <v>259</v>
      </c>
      <c r="P108" s="6">
        <v>8.94</v>
      </c>
      <c r="Q108" s="6">
        <v>10.7</v>
      </c>
      <c r="R108" s="6">
        <v>44</v>
      </c>
      <c r="S108" s="15">
        <f t="shared" si="7"/>
        <v>9.0720681818181816</v>
      </c>
      <c r="T108" s="10">
        <f t="shared" si="6"/>
        <v>7127.6562661740463</v>
      </c>
      <c r="U108" s="11">
        <f t="shared" si="8"/>
        <v>6358.3017539465181</v>
      </c>
      <c r="V108" s="10">
        <v>72.48</v>
      </c>
      <c r="W108" s="10">
        <v>44.39</v>
      </c>
      <c r="X108" s="7"/>
    </row>
    <row r="109" spans="1:24" x14ac:dyDescent="0.25">
      <c r="A109" s="7">
        <v>2024</v>
      </c>
      <c r="B109" s="6" t="s">
        <v>125</v>
      </c>
      <c r="C109" s="6" t="s">
        <v>126</v>
      </c>
      <c r="D109" s="6" t="s">
        <v>127</v>
      </c>
      <c r="E109" s="8" t="s">
        <v>128</v>
      </c>
      <c r="F109" s="6" t="s">
        <v>157</v>
      </c>
      <c r="G109" s="6">
        <v>214</v>
      </c>
      <c r="H109" s="6">
        <v>7</v>
      </c>
      <c r="I109" s="6">
        <v>4</v>
      </c>
      <c r="J109" s="6">
        <v>2</v>
      </c>
      <c r="K109" s="6">
        <v>1</v>
      </c>
      <c r="L109" t="s">
        <v>252</v>
      </c>
      <c r="M109" s="8" t="s">
        <v>471</v>
      </c>
      <c r="N109" s="8" t="s">
        <v>471</v>
      </c>
      <c r="O109" s="8" t="s">
        <v>471</v>
      </c>
      <c r="P109" s="6">
        <v>8.49</v>
      </c>
      <c r="Q109" s="6">
        <v>10.7</v>
      </c>
      <c r="R109" s="6">
        <v>44.6</v>
      </c>
      <c r="S109" s="15">
        <f t="shared" si="7"/>
        <v>8.615420454545454</v>
      </c>
      <c r="T109" s="10">
        <f t="shared" si="6"/>
        <v>6768.8816219035398</v>
      </c>
      <c r="U109" s="11">
        <f t="shared" si="8"/>
        <v>6038.2530079424978</v>
      </c>
      <c r="V109" s="10">
        <v>71.849999999999994</v>
      </c>
      <c r="W109" s="10">
        <v>43.08</v>
      </c>
      <c r="X109" s="7"/>
    </row>
    <row r="110" spans="1:24" x14ac:dyDescent="0.25">
      <c r="A110" s="7">
        <v>2024</v>
      </c>
      <c r="B110" s="6" t="s">
        <v>125</v>
      </c>
      <c r="C110" s="6" t="s">
        <v>126</v>
      </c>
      <c r="D110" s="6" t="s">
        <v>127</v>
      </c>
      <c r="E110" s="8" t="s">
        <v>128</v>
      </c>
      <c r="F110" s="6" t="s">
        <v>158</v>
      </c>
      <c r="G110" s="6">
        <v>301</v>
      </c>
      <c r="H110" s="6">
        <v>1</v>
      </c>
      <c r="I110" s="6">
        <v>5</v>
      </c>
      <c r="J110" s="6">
        <v>3</v>
      </c>
      <c r="K110" s="6">
        <v>1</v>
      </c>
      <c r="L110" t="s">
        <v>252</v>
      </c>
      <c r="M110" s="8" t="s">
        <v>471</v>
      </c>
      <c r="N110" s="8" t="s">
        <v>471</v>
      </c>
      <c r="O110" s="8" t="s">
        <v>471</v>
      </c>
      <c r="P110" s="6">
        <v>10.77</v>
      </c>
      <c r="Q110" s="6">
        <v>11.4</v>
      </c>
      <c r="R110" s="6">
        <v>43.9</v>
      </c>
      <c r="S110" s="15">
        <f t="shared" si="7"/>
        <v>10.843431818181818</v>
      </c>
      <c r="T110" s="10">
        <f t="shared" si="6"/>
        <v>8519.364404755268</v>
      </c>
      <c r="U110" s="11">
        <f t="shared" si="8"/>
        <v>7599.7898347504624</v>
      </c>
      <c r="V110" s="10">
        <v>72.48</v>
      </c>
      <c r="W110" s="10">
        <v>46.07</v>
      </c>
      <c r="X110" s="7"/>
    </row>
    <row r="111" spans="1:24" x14ac:dyDescent="0.25">
      <c r="A111" s="7">
        <v>2024</v>
      </c>
      <c r="B111" s="6" t="s">
        <v>125</v>
      </c>
      <c r="C111" s="6" t="s">
        <v>126</v>
      </c>
      <c r="D111" s="6" t="s">
        <v>127</v>
      </c>
      <c r="E111" s="8" t="s">
        <v>128</v>
      </c>
      <c r="F111" s="6" t="s">
        <v>159</v>
      </c>
      <c r="G111" s="6">
        <v>302</v>
      </c>
      <c r="H111" s="6">
        <v>2</v>
      </c>
      <c r="I111" s="6">
        <v>5</v>
      </c>
      <c r="J111" s="6">
        <v>3</v>
      </c>
      <c r="K111" s="6">
        <v>14</v>
      </c>
      <c r="L111" t="s">
        <v>252</v>
      </c>
      <c r="M111" s="8" t="s">
        <v>137</v>
      </c>
      <c r="N111" s="8" t="s">
        <v>61</v>
      </c>
      <c r="O111" s="9" t="s">
        <v>468</v>
      </c>
      <c r="P111" s="6">
        <v>11.74</v>
      </c>
      <c r="Q111" s="6">
        <v>12.2</v>
      </c>
      <c r="R111" s="6">
        <v>44.3</v>
      </c>
      <c r="S111" s="15">
        <f t="shared" si="7"/>
        <v>11.713318181818181</v>
      </c>
      <c r="T111" s="10">
        <f t="shared" si="6"/>
        <v>9202.8084515117007</v>
      </c>
      <c r="U111" s="11">
        <f t="shared" si="8"/>
        <v>8209.463382258431</v>
      </c>
      <c r="V111" s="10">
        <v>72.19</v>
      </c>
      <c r="W111" s="10">
        <v>50.3</v>
      </c>
      <c r="X111" s="7"/>
    </row>
    <row r="112" spans="1:24" x14ac:dyDescent="0.25">
      <c r="A112" s="7">
        <v>2024</v>
      </c>
      <c r="B112" s="6" t="s">
        <v>125</v>
      </c>
      <c r="C112" s="6" t="s">
        <v>126</v>
      </c>
      <c r="D112" s="6" t="s">
        <v>127</v>
      </c>
      <c r="E112" s="8" t="s">
        <v>128</v>
      </c>
      <c r="F112" s="6" t="s">
        <v>160</v>
      </c>
      <c r="G112" s="6">
        <v>303</v>
      </c>
      <c r="H112" s="6">
        <v>3</v>
      </c>
      <c r="I112" s="6">
        <v>5</v>
      </c>
      <c r="J112" s="6">
        <v>3</v>
      </c>
      <c r="K112" s="6">
        <v>8</v>
      </c>
      <c r="L112" t="s">
        <v>252</v>
      </c>
      <c r="M112" s="8" t="s">
        <v>33</v>
      </c>
      <c r="N112" s="8" t="s">
        <v>58</v>
      </c>
      <c r="O112" s="9" t="s">
        <v>467</v>
      </c>
      <c r="P112" s="6">
        <v>11.6</v>
      </c>
      <c r="Q112" s="6">
        <v>11.5</v>
      </c>
      <c r="R112" s="6">
        <v>44</v>
      </c>
      <c r="S112" s="15">
        <f t="shared" si="7"/>
        <v>11.665909090909091</v>
      </c>
      <c r="T112" s="10">
        <f t="shared" si="6"/>
        <v>9165.5605277616305</v>
      </c>
      <c r="U112" s="11">
        <f t="shared" si="8"/>
        <v>8176.2359748096615</v>
      </c>
      <c r="V112" s="10">
        <v>73.099999999999994</v>
      </c>
      <c r="W112" s="10">
        <v>45.41</v>
      </c>
      <c r="X112" s="7"/>
    </row>
    <row r="113" spans="1:24" x14ac:dyDescent="0.25">
      <c r="A113" s="7">
        <v>2024</v>
      </c>
      <c r="B113" s="6" t="s">
        <v>125</v>
      </c>
      <c r="C113" s="6" t="s">
        <v>126</v>
      </c>
      <c r="D113" s="6" t="s">
        <v>127</v>
      </c>
      <c r="E113" s="8" t="s">
        <v>128</v>
      </c>
      <c r="F113" s="6" t="s">
        <v>161</v>
      </c>
      <c r="G113" s="6">
        <v>304</v>
      </c>
      <c r="H113" s="6">
        <v>4</v>
      </c>
      <c r="I113" s="6">
        <v>5</v>
      </c>
      <c r="J113" s="6">
        <v>3</v>
      </c>
      <c r="K113" s="6">
        <v>5</v>
      </c>
      <c r="L113" t="s">
        <v>252</v>
      </c>
      <c r="M113" s="8" t="s">
        <v>31</v>
      </c>
      <c r="N113" s="8" t="s">
        <v>62</v>
      </c>
      <c r="O113" s="9" t="s">
        <v>259</v>
      </c>
      <c r="P113" s="6">
        <v>10.49</v>
      </c>
      <c r="Q113" s="6">
        <v>11.2</v>
      </c>
      <c r="R113" s="6">
        <v>43.8</v>
      </c>
      <c r="S113" s="15">
        <f t="shared" si="7"/>
        <v>10.585363636363637</v>
      </c>
      <c r="T113" s="10">
        <f t="shared" si="6"/>
        <v>8316.6078495385664</v>
      </c>
      <c r="U113" s="11">
        <f t="shared" si="8"/>
        <v>7418.918688259203</v>
      </c>
      <c r="V113" s="10">
        <v>72.48</v>
      </c>
      <c r="W113" s="10">
        <v>43.67</v>
      </c>
      <c r="X113" s="7"/>
    </row>
    <row r="114" spans="1:24" x14ac:dyDescent="0.25">
      <c r="A114" s="7">
        <v>2024</v>
      </c>
      <c r="B114" s="6" t="s">
        <v>125</v>
      </c>
      <c r="C114" s="6" t="s">
        <v>126</v>
      </c>
      <c r="D114" s="6" t="s">
        <v>127</v>
      </c>
      <c r="E114" s="8" t="s">
        <v>128</v>
      </c>
      <c r="F114" s="6" t="s">
        <v>162</v>
      </c>
      <c r="G114" s="6">
        <v>305</v>
      </c>
      <c r="H114" s="6">
        <v>5</v>
      </c>
      <c r="I114" s="6">
        <v>5</v>
      </c>
      <c r="J114" s="6">
        <v>3</v>
      </c>
      <c r="K114" s="6">
        <v>10</v>
      </c>
      <c r="L114" t="s">
        <v>252</v>
      </c>
      <c r="M114" s="8" t="s">
        <v>137</v>
      </c>
      <c r="N114" s="8" t="s">
        <v>58</v>
      </c>
      <c r="O114" s="9" t="s">
        <v>468</v>
      </c>
      <c r="P114" s="6">
        <v>10.81</v>
      </c>
      <c r="Q114" s="6">
        <v>10.6</v>
      </c>
      <c r="R114" s="6">
        <v>43.9</v>
      </c>
      <c r="S114" s="15">
        <f t="shared" si="7"/>
        <v>10.981977272727274</v>
      </c>
      <c r="T114" s="10">
        <f t="shared" si="6"/>
        <v>8628.2154801054257</v>
      </c>
      <c r="U114" s="11">
        <f t="shared" si="8"/>
        <v>7696.8915968826277</v>
      </c>
      <c r="V114" s="10">
        <v>72.760000000000005</v>
      </c>
      <c r="W114" s="10">
        <v>45.68</v>
      </c>
      <c r="X114" s="7"/>
    </row>
    <row r="115" spans="1:24" x14ac:dyDescent="0.25">
      <c r="A115" s="7">
        <v>2024</v>
      </c>
      <c r="B115" s="6" t="s">
        <v>125</v>
      </c>
      <c r="C115" s="6" t="s">
        <v>126</v>
      </c>
      <c r="D115" s="6" t="s">
        <v>127</v>
      </c>
      <c r="E115" s="8" t="s">
        <v>128</v>
      </c>
      <c r="F115" s="6" t="s">
        <v>163</v>
      </c>
      <c r="G115" s="6">
        <v>306</v>
      </c>
      <c r="H115" s="6">
        <v>6</v>
      </c>
      <c r="I115" s="6">
        <v>5</v>
      </c>
      <c r="J115" s="6">
        <v>3</v>
      </c>
      <c r="K115" s="6">
        <v>2</v>
      </c>
      <c r="L115" t="s">
        <v>252</v>
      </c>
      <c r="M115" s="8" t="s">
        <v>31</v>
      </c>
      <c r="N115" s="8" t="s">
        <v>470</v>
      </c>
      <c r="O115" s="9" t="s">
        <v>259</v>
      </c>
      <c r="P115" s="6">
        <v>9.7799999999999994</v>
      </c>
      <c r="Q115" s="6">
        <v>10.9</v>
      </c>
      <c r="R115" s="6">
        <v>44</v>
      </c>
      <c r="S115" s="15">
        <f t="shared" si="7"/>
        <v>9.9022499999999987</v>
      </c>
      <c r="T115" s="10">
        <f t="shared" si="6"/>
        <v>7779.9056231934819</v>
      </c>
      <c r="U115" s="11">
        <f t="shared" si="8"/>
        <v>6940.1477459353091</v>
      </c>
      <c r="V115" s="10">
        <v>72.67</v>
      </c>
      <c r="W115" s="10">
        <v>44.76</v>
      </c>
      <c r="X115" s="7"/>
    </row>
    <row r="116" spans="1:24" x14ac:dyDescent="0.25">
      <c r="A116" s="7">
        <v>2024</v>
      </c>
      <c r="B116" s="6" t="s">
        <v>125</v>
      </c>
      <c r="C116" s="6" t="s">
        <v>126</v>
      </c>
      <c r="D116" s="6" t="s">
        <v>127</v>
      </c>
      <c r="E116" s="8" t="s">
        <v>128</v>
      </c>
      <c r="F116" s="6" t="s">
        <v>164</v>
      </c>
      <c r="G116" s="6">
        <v>307</v>
      </c>
      <c r="H116" s="6">
        <v>7</v>
      </c>
      <c r="I116" s="6">
        <v>5</v>
      </c>
      <c r="J116" s="6">
        <v>3</v>
      </c>
      <c r="K116" s="6">
        <v>13</v>
      </c>
      <c r="L116" t="s">
        <v>252</v>
      </c>
      <c r="M116" s="8" t="s">
        <v>137</v>
      </c>
      <c r="N116" s="8" t="s">
        <v>59</v>
      </c>
      <c r="O116" s="9" t="s">
        <v>468</v>
      </c>
      <c r="P116" s="6">
        <v>10.46</v>
      </c>
      <c r="Q116" s="6">
        <v>10.8</v>
      </c>
      <c r="R116" s="6">
        <v>44</v>
      </c>
      <c r="S116" s="15">
        <f t="shared" si="7"/>
        <v>10.602636363636364</v>
      </c>
      <c r="T116" s="10">
        <f t="shared" si="6"/>
        <v>8330.1785216622739</v>
      </c>
      <c r="U116" s="11">
        <f t="shared" si="8"/>
        <v>7431.0245509922161</v>
      </c>
      <c r="V116" s="10">
        <v>72.73</v>
      </c>
      <c r="W116" s="10">
        <v>49.05</v>
      </c>
      <c r="X116" s="7"/>
    </row>
    <row r="117" spans="1:24" x14ac:dyDescent="0.25">
      <c r="A117" s="7">
        <v>2024</v>
      </c>
      <c r="B117" s="6" t="s">
        <v>125</v>
      </c>
      <c r="C117" s="6" t="s">
        <v>126</v>
      </c>
      <c r="D117" s="6" t="s">
        <v>127</v>
      </c>
      <c r="E117" s="8" t="s">
        <v>128</v>
      </c>
      <c r="F117" s="6" t="s">
        <v>165</v>
      </c>
      <c r="G117" s="6">
        <v>308</v>
      </c>
      <c r="H117" s="6">
        <v>1</v>
      </c>
      <c r="I117" s="6">
        <v>6</v>
      </c>
      <c r="J117" s="6">
        <v>3</v>
      </c>
      <c r="K117" s="6">
        <v>11</v>
      </c>
      <c r="L117" t="s">
        <v>252</v>
      </c>
      <c r="M117" s="8" t="s">
        <v>137</v>
      </c>
      <c r="N117" s="8" t="s">
        <v>60</v>
      </c>
      <c r="O117" s="9" t="s">
        <v>468</v>
      </c>
      <c r="P117" s="6">
        <v>11.7</v>
      </c>
      <c r="Q117" s="6">
        <v>11.4</v>
      </c>
      <c r="R117" s="6">
        <v>44</v>
      </c>
      <c r="S117" s="15">
        <f t="shared" si="7"/>
        <v>11.779772727272727</v>
      </c>
      <c r="T117" s="10">
        <f t="shared" si="6"/>
        <v>9255.0198268929089</v>
      </c>
      <c r="U117" s="11">
        <f t="shared" si="8"/>
        <v>8256.0390962470192</v>
      </c>
      <c r="V117" s="10">
        <v>73.09</v>
      </c>
      <c r="W117" s="10">
        <v>48.48</v>
      </c>
      <c r="X117" s="7"/>
    </row>
    <row r="118" spans="1:24" x14ac:dyDescent="0.25">
      <c r="A118" s="7">
        <v>2024</v>
      </c>
      <c r="B118" s="6" t="s">
        <v>125</v>
      </c>
      <c r="C118" s="6" t="s">
        <v>126</v>
      </c>
      <c r="D118" s="6" t="s">
        <v>127</v>
      </c>
      <c r="E118" s="8" t="s">
        <v>128</v>
      </c>
      <c r="F118" s="6" t="s">
        <v>166</v>
      </c>
      <c r="G118" s="6">
        <v>309</v>
      </c>
      <c r="H118" s="6">
        <v>2</v>
      </c>
      <c r="I118" s="6">
        <v>6</v>
      </c>
      <c r="J118" s="6">
        <v>3</v>
      </c>
      <c r="K118" s="6">
        <v>7</v>
      </c>
      <c r="L118" t="s">
        <v>252</v>
      </c>
      <c r="M118" s="8" t="s">
        <v>31</v>
      </c>
      <c r="N118" s="8" t="s">
        <v>61</v>
      </c>
      <c r="O118" s="9" t="s">
        <v>259</v>
      </c>
      <c r="P118" s="6">
        <v>10.56</v>
      </c>
      <c r="Q118" s="6">
        <v>12.9</v>
      </c>
      <c r="R118" s="6">
        <v>43.6</v>
      </c>
      <c r="S118" s="15">
        <f t="shared" si="7"/>
        <v>10.452</v>
      </c>
      <c r="T118" s="10">
        <f t="shared" si="6"/>
        <v>8211.827975825523</v>
      </c>
      <c r="U118" s="11">
        <f t="shared" si="8"/>
        <v>7325.4486849469431</v>
      </c>
      <c r="V118" s="10">
        <v>73.16</v>
      </c>
      <c r="W118" s="10">
        <v>53.3</v>
      </c>
      <c r="X118" s="7"/>
    </row>
    <row r="119" spans="1:24" x14ac:dyDescent="0.25">
      <c r="A119" s="7">
        <v>2024</v>
      </c>
      <c r="B119" s="6" t="s">
        <v>125</v>
      </c>
      <c r="C119" s="6" t="s">
        <v>126</v>
      </c>
      <c r="D119" s="6" t="s">
        <v>127</v>
      </c>
      <c r="E119" s="8" t="s">
        <v>128</v>
      </c>
      <c r="F119" s="6" t="s">
        <v>167</v>
      </c>
      <c r="G119" s="6">
        <v>310</v>
      </c>
      <c r="H119" s="6">
        <v>3</v>
      </c>
      <c r="I119" s="6">
        <v>6</v>
      </c>
      <c r="J119" s="6">
        <v>3</v>
      </c>
      <c r="K119" s="6">
        <v>12</v>
      </c>
      <c r="L119" t="s">
        <v>252</v>
      </c>
      <c r="M119" s="8" t="s">
        <v>137</v>
      </c>
      <c r="N119" s="8" t="s">
        <v>62</v>
      </c>
      <c r="O119" s="9" t="s">
        <v>468</v>
      </c>
      <c r="P119" s="6">
        <v>10.53</v>
      </c>
      <c r="Q119" s="6">
        <v>11.6</v>
      </c>
      <c r="R119" s="6">
        <v>44.2</v>
      </c>
      <c r="S119" s="15">
        <f t="shared" si="7"/>
        <v>10.577863636363636</v>
      </c>
      <c r="T119" s="10">
        <f t="shared" si="6"/>
        <v>8310.7153208532709</v>
      </c>
      <c r="U119" s="11">
        <f t="shared" si="8"/>
        <v>7413.6621952303931</v>
      </c>
      <c r="V119" s="10">
        <v>72.31</v>
      </c>
      <c r="W119" s="10">
        <v>50.23</v>
      </c>
      <c r="X119" s="7"/>
    </row>
    <row r="120" spans="1:24" x14ac:dyDescent="0.25">
      <c r="A120" s="7">
        <v>2024</v>
      </c>
      <c r="B120" s="6" t="s">
        <v>125</v>
      </c>
      <c r="C120" s="6" t="s">
        <v>126</v>
      </c>
      <c r="D120" s="6" t="s">
        <v>127</v>
      </c>
      <c r="E120" s="8" t="s">
        <v>128</v>
      </c>
      <c r="F120" s="6" t="s">
        <v>168</v>
      </c>
      <c r="G120" s="6">
        <v>311</v>
      </c>
      <c r="H120" s="6">
        <v>4</v>
      </c>
      <c r="I120" s="6">
        <v>6</v>
      </c>
      <c r="J120" s="6">
        <v>3</v>
      </c>
      <c r="K120" s="6">
        <v>4</v>
      </c>
      <c r="L120" t="s">
        <v>252</v>
      </c>
      <c r="M120" s="8" t="s">
        <v>31</v>
      </c>
      <c r="N120" s="8" t="s">
        <v>60</v>
      </c>
      <c r="O120" s="9" t="s">
        <v>259</v>
      </c>
      <c r="P120" s="6">
        <v>9.73</v>
      </c>
      <c r="Q120" s="6">
        <v>11.6</v>
      </c>
      <c r="R120" s="6">
        <v>44</v>
      </c>
      <c r="S120" s="15">
        <f t="shared" si="7"/>
        <v>9.7742272727272734</v>
      </c>
      <c r="T120" s="10">
        <f t="shared" si="6"/>
        <v>7679.3219441502697</v>
      </c>
      <c r="U120" s="11">
        <f t="shared" si="8"/>
        <v>6850.4210028102316</v>
      </c>
      <c r="V120" s="10">
        <v>72.430000000000007</v>
      </c>
      <c r="W120" s="10">
        <v>43.98</v>
      </c>
      <c r="X120" s="7"/>
    </row>
    <row r="121" spans="1:24" x14ac:dyDescent="0.25">
      <c r="A121" s="7">
        <v>2024</v>
      </c>
      <c r="B121" s="6" t="s">
        <v>125</v>
      </c>
      <c r="C121" s="6" t="s">
        <v>126</v>
      </c>
      <c r="D121" s="6" t="s">
        <v>127</v>
      </c>
      <c r="E121" s="8" t="s">
        <v>128</v>
      </c>
      <c r="F121" s="6" t="s">
        <v>169</v>
      </c>
      <c r="G121" s="6">
        <v>312</v>
      </c>
      <c r="H121" s="6">
        <v>5</v>
      </c>
      <c r="I121" s="6">
        <v>6</v>
      </c>
      <c r="J121" s="6">
        <v>3</v>
      </c>
      <c r="K121" s="6">
        <v>6</v>
      </c>
      <c r="L121" t="s">
        <v>252</v>
      </c>
      <c r="M121" s="8" t="s">
        <v>31</v>
      </c>
      <c r="N121" s="8" t="s">
        <v>59</v>
      </c>
      <c r="O121" s="9" t="s">
        <v>259</v>
      </c>
      <c r="P121" s="6">
        <v>10.32</v>
      </c>
      <c r="Q121" s="6">
        <v>11</v>
      </c>
      <c r="R121" s="6">
        <v>44.4</v>
      </c>
      <c r="S121" s="15">
        <f t="shared" si="7"/>
        <v>10.437272727272727</v>
      </c>
      <c r="T121" s="10">
        <f t="shared" si="6"/>
        <v>8200.2571922253101</v>
      </c>
      <c r="U121" s="11">
        <f t="shared" si="8"/>
        <v>7315.126844090375</v>
      </c>
      <c r="V121" s="10">
        <v>73.02</v>
      </c>
      <c r="W121" s="10">
        <v>45.98</v>
      </c>
      <c r="X121" s="7"/>
    </row>
    <row r="122" spans="1:24" x14ac:dyDescent="0.25">
      <c r="A122" s="7">
        <v>2024</v>
      </c>
      <c r="B122" s="6" t="s">
        <v>125</v>
      </c>
      <c r="C122" s="6" t="s">
        <v>126</v>
      </c>
      <c r="D122" s="6" t="s">
        <v>127</v>
      </c>
      <c r="E122" s="8" t="s">
        <v>128</v>
      </c>
      <c r="F122" s="6" t="s">
        <v>170</v>
      </c>
      <c r="G122" s="6">
        <v>313</v>
      </c>
      <c r="H122" s="6">
        <v>6</v>
      </c>
      <c r="I122" s="6">
        <v>6</v>
      </c>
      <c r="J122" s="6">
        <v>3</v>
      </c>
      <c r="K122" s="6">
        <v>3</v>
      </c>
      <c r="L122" t="s">
        <v>252</v>
      </c>
      <c r="M122" s="8" t="s">
        <v>31</v>
      </c>
      <c r="N122" s="8" t="s">
        <v>58</v>
      </c>
      <c r="O122" s="9" t="s">
        <v>259</v>
      </c>
      <c r="P122" s="6">
        <v>9.99</v>
      </c>
      <c r="Q122" s="6">
        <v>11.8</v>
      </c>
      <c r="R122" s="6">
        <v>43.9</v>
      </c>
      <c r="S122" s="15">
        <f t="shared" si="7"/>
        <v>10.012704545454545</v>
      </c>
      <c r="T122" s="10">
        <f t="shared" si="6"/>
        <v>7866.6865001950819</v>
      </c>
      <c r="U122" s="11">
        <f t="shared" si="8"/>
        <v>7017.5615523595734</v>
      </c>
      <c r="V122" s="10">
        <v>73.05</v>
      </c>
      <c r="W122" s="10">
        <v>46.82</v>
      </c>
      <c r="X122" s="7"/>
    </row>
    <row r="123" spans="1:24" x14ac:dyDescent="0.25">
      <c r="A123" s="7">
        <v>2024</v>
      </c>
      <c r="B123" s="6" t="s">
        <v>125</v>
      </c>
      <c r="C123" s="6" t="s">
        <v>126</v>
      </c>
      <c r="D123" s="6" t="s">
        <v>127</v>
      </c>
      <c r="E123" s="8" t="s">
        <v>128</v>
      </c>
      <c r="F123" s="6" t="s">
        <v>171</v>
      </c>
      <c r="G123" s="6">
        <v>314</v>
      </c>
      <c r="H123" s="6">
        <v>7</v>
      </c>
      <c r="I123" s="6">
        <v>6</v>
      </c>
      <c r="J123" s="6">
        <v>3</v>
      </c>
      <c r="K123" s="6">
        <v>9</v>
      </c>
      <c r="L123" t="s">
        <v>252</v>
      </c>
      <c r="M123" s="8" t="s">
        <v>137</v>
      </c>
      <c r="N123" s="8" t="s">
        <v>470</v>
      </c>
      <c r="O123" s="9" t="s">
        <v>468</v>
      </c>
      <c r="P123" s="6">
        <v>10.58</v>
      </c>
      <c r="Q123" s="6">
        <v>11.1</v>
      </c>
      <c r="R123" s="6">
        <v>52.3</v>
      </c>
      <c r="S123" s="15">
        <f t="shared" si="7"/>
        <v>10.688204545454546</v>
      </c>
      <c r="T123" s="10">
        <f t="shared" si="6"/>
        <v>8397.4069171172159</v>
      </c>
      <c r="U123" s="11">
        <f t="shared" si="8"/>
        <v>7490.9963578208881</v>
      </c>
      <c r="V123" s="10">
        <v>71.760000000000005</v>
      </c>
      <c r="W123" s="10">
        <v>44.84</v>
      </c>
      <c r="X123" s="7"/>
    </row>
    <row r="124" spans="1:24" x14ac:dyDescent="0.25">
      <c r="A124" s="7">
        <v>2024</v>
      </c>
      <c r="B124" s="6" t="s">
        <v>125</v>
      </c>
      <c r="C124" s="6" t="s">
        <v>126</v>
      </c>
      <c r="D124" s="6" t="s">
        <v>127</v>
      </c>
      <c r="E124" s="8" t="s">
        <v>128</v>
      </c>
      <c r="F124" s="6" t="s">
        <v>172</v>
      </c>
      <c r="G124" s="6">
        <v>401</v>
      </c>
      <c r="H124" s="6">
        <v>1</v>
      </c>
      <c r="I124" s="6">
        <v>7</v>
      </c>
      <c r="J124" s="6">
        <v>4</v>
      </c>
      <c r="K124" s="6">
        <v>9</v>
      </c>
      <c r="L124" t="s">
        <v>252</v>
      </c>
      <c r="M124" s="8" t="s">
        <v>137</v>
      </c>
      <c r="N124" s="8" t="s">
        <v>470</v>
      </c>
      <c r="O124" s="9" t="s">
        <v>468</v>
      </c>
      <c r="P124" s="6">
        <v>11.72</v>
      </c>
      <c r="Q124" s="6">
        <v>12.2</v>
      </c>
      <c r="R124" s="6">
        <v>44</v>
      </c>
      <c r="S124" s="15">
        <f t="shared" si="7"/>
        <v>11.693363636363637</v>
      </c>
      <c r="T124" s="10">
        <f t="shared" si="6"/>
        <v>9187.1307539793142</v>
      </c>
      <c r="U124" s="11">
        <f t="shared" si="8"/>
        <v>8195.4779250484517</v>
      </c>
      <c r="V124" s="10">
        <v>72.63</v>
      </c>
      <c r="W124" s="10">
        <v>49.4</v>
      </c>
      <c r="X124" s="7"/>
    </row>
    <row r="125" spans="1:24" x14ac:dyDescent="0.25">
      <c r="A125" s="7">
        <v>2024</v>
      </c>
      <c r="B125" s="6" t="s">
        <v>125</v>
      </c>
      <c r="C125" s="6" t="s">
        <v>126</v>
      </c>
      <c r="D125" s="6" t="s">
        <v>127</v>
      </c>
      <c r="E125" s="8" t="s">
        <v>128</v>
      </c>
      <c r="F125" s="6" t="s">
        <v>173</v>
      </c>
      <c r="G125" s="6">
        <v>402</v>
      </c>
      <c r="H125" s="6">
        <v>2</v>
      </c>
      <c r="I125" s="6">
        <v>7</v>
      </c>
      <c r="J125" s="6">
        <v>4</v>
      </c>
      <c r="K125" s="6">
        <v>1</v>
      </c>
      <c r="L125" t="s">
        <v>252</v>
      </c>
      <c r="M125" s="8" t="s">
        <v>471</v>
      </c>
      <c r="N125" s="8" t="s">
        <v>471</v>
      </c>
      <c r="O125" s="8" t="s">
        <v>471</v>
      </c>
      <c r="P125" s="6">
        <v>11.87</v>
      </c>
      <c r="Q125" s="6">
        <v>11.9</v>
      </c>
      <c r="R125" s="6">
        <v>43.8</v>
      </c>
      <c r="S125" s="15">
        <f t="shared" si="7"/>
        <v>11.883488636363635</v>
      </c>
      <c r="T125" s="10">
        <f t="shared" si="6"/>
        <v>9336.5063561515108</v>
      </c>
      <c r="U125" s="11">
        <f t="shared" si="8"/>
        <v>8328.7300233287333</v>
      </c>
      <c r="V125" s="10">
        <v>73.180000000000007</v>
      </c>
      <c r="W125" s="10">
        <v>50.73</v>
      </c>
      <c r="X125" s="7"/>
    </row>
    <row r="126" spans="1:24" x14ac:dyDescent="0.25">
      <c r="A126" s="7">
        <v>2024</v>
      </c>
      <c r="B126" s="6" t="s">
        <v>125</v>
      </c>
      <c r="C126" s="6" t="s">
        <v>126</v>
      </c>
      <c r="D126" s="6" t="s">
        <v>127</v>
      </c>
      <c r="E126" s="8" t="s">
        <v>128</v>
      </c>
      <c r="F126" s="6" t="s">
        <v>174</v>
      </c>
      <c r="G126" s="6">
        <v>403</v>
      </c>
      <c r="H126" s="6">
        <v>3</v>
      </c>
      <c r="I126" s="6">
        <v>7</v>
      </c>
      <c r="J126" s="6">
        <v>4</v>
      </c>
      <c r="K126" s="6">
        <v>3</v>
      </c>
      <c r="L126" t="s">
        <v>252</v>
      </c>
      <c r="M126" s="8" t="s">
        <v>31</v>
      </c>
      <c r="N126" s="8" t="s">
        <v>58</v>
      </c>
      <c r="O126" s="9" t="s">
        <v>259</v>
      </c>
      <c r="P126" s="6">
        <v>10.39</v>
      </c>
      <c r="Q126" s="6">
        <v>12.1</v>
      </c>
      <c r="R126" s="6">
        <v>44.1</v>
      </c>
      <c r="S126" s="15">
        <f t="shared" si="7"/>
        <v>10.378193181818183</v>
      </c>
      <c r="T126" s="10">
        <f t="shared" si="6"/>
        <v>8153.8401367179722</v>
      </c>
      <c r="U126" s="11">
        <f t="shared" si="8"/>
        <v>7273.7200149134451</v>
      </c>
      <c r="V126" s="10">
        <v>72.91</v>
      </c>
      <c r="W126" s="10">
        <v>52.35</v>
      </c>
      <c r="X126" s="7"/>
    </row>
    <row r="127" spans="1:24" x14ac:dyDescent="0.25">
      <c r="A127" s="7">
        <v>2024</v>
      </c>
      <c r="B127" s="6" t="s">
        <v>125</v>
      </c>
      <c r="C127" s="6" t="s">
        <v>126</v>
      </c>
      <c r="D127" s="6" t="s">
        <v>127</v>
      </c>
      <c r="E127" s="8" t="s">
        <v>128</v>
      </c>
      <c r="F127" s="6" t="s">
        <v>175</v>
      </c>
      <c r="G127" s="6">
        <v>404</v>
      </c>
      <c r="H127" s="6">
        <v>4</v>
      </c>
      <c r="I127" s="6">
        <v>7</v>
      </c>
      <c r="J127" s="6">
        <v>4</v>
      </c>
      <c r="K127" s="6">
        <v>12</v>
      </c>
      <c r="L127" t="s">
        <v>252</v>
      </c>
      <c r="M127" s="8" t="s">
        <v>137</v>
      </c>
      <c r="N127" s="8" t="s">
        <v>62</v>
      </c>
      <c r="O127" s="9" t="s">
        <v>468</v>
      </c>
      <c r="P127" s="6">
        <v>11.31</v>
      </c>
      <c r="Q127" s="6">
        <v>12.1</v>
      </c>
      <c r="R127" s="6">
        <v>44.4</v>
      </c>
      <c r="S127" s="15">
        <f t="shared" si="7"/>
        <v>11.297147727272726</v>
      </c>
      <c r="T127" s="10">
        <f t="shared" si="6"/>
        <v>8875.8356059942489</v>
      </c>
      <c r="U127" s="11">
        <f t="shared" si="8"/>
        <v>7917.7837698432195</v>
      </c>
      <c r="V127" s="10">
        <v>72.680000000000007</v>
      </c>
      <c r="W127" s="10">
        <v>52.7</v>
      </c>
      <c r="X127" s="7"/>
    </row>
    <row r="128" spans="1:24" x14ac:dyDescent="0.25">
      <c r="A128" s="7">
        <v>2024</v>
      </c>
      <c r="B128" s="6" t="s">
        <v>125</v>
      </c>
      <c r="C128" s="6" t="s">
        <v>126</v>
      </c>
      <c r="D128" s="6" t="s">
        <v>127</v>
      </c>
      <c r="E128" s="8" t="s">
        <v>128</v>
      </c>
      <c r="F128" s="6" t="s">
        <v>176</v>
      </c>
      <c r="G128" s="6">
        <v>405</v>
      </c>
      <c r="H128" s="6">
        <v>5</v>
      </c>
      <c r="I128" s="6">
        <v>7</v>
      </c>
      <c r="J128" s="6">
        <v>4</v>
      </c>
      <c r="K128" s="6">
        <v>4</v>
      </c>
      <c r="L128" t="s">
        <v>252</v>
      </c>
      <c r="M128" s="8" t="s">
        <v>31</v>
      </c>
      <c r="N128" s="8" t="s">
        <v>60</v>
      </c>
      <c r="O128" s="9" t="s">
        <v>259</v>
      </c>
      <c r="P128" s="6">
        <v>12.56</v>
      </c>
      <c r="Q128" s="6">
        <v>11.7</v>
      </c>
      <c r="R128" s="6">
        <v>43.8</v>
      </c>
      <c r="S128" s="15">
        <f t="shared" si="7"/>
        <v>12.602818181818183</v>
      </c>
      <c r="T128" s="10">
        <f t="shared" si="6"/>
        <v>9901.6623535875533</v>
      </c>
      <c r="U128" s="11">
        <f t="shared" si="8"/>
        <v>8832.8834554750701</v>
      </c>
      <c r="V128" s="10">
        <v>72.650000000000006</v>
      </c>
      <c r="W128" s="10">
        <v>46.58</v>
      </c>
      <c r="X128" s="7"/>
    </row>
    <row r="129" spans="1:24" x14ac:dyDescent="0.25">
      <c r="A129" s="7">
        <v>2024</v>
      </c>
      <c r="B129" s="6" t="s">
        <v>125</v>
      </c>
      <c r="C129" s="6" t="s">
        <v>126</v>
      </c>
      <c r="D129" s="6" t="s">
        <v>127</v>
      </c>
      <c r="E129" s="8" t="s">
        <v>128</v>
      </c>
      <c r="F129" s="6" t="s">
        <v>177</v>
      </c>
      <c r="G129" s="6">
        <v>406</v>
      </c>
      <c r="H129" s="6">
        <v>6</v>
      </c>
      <c r="I129" s="6">
        <v>7</v>
      </c>
      <c r="J129" s="6">
        <v>4</v>
      </c>
      <c r="K129" s="6">
        <v>5</v>
      </c>
      <c r="L129" t="s">
        <v>252</v>
      </c>
      <c r="M129" s="8" t="s">
        <v>31</v>
      </c>
      <c r="N129" s="8" t="s">
        <v>62</v>
      </c>
      <c r="O129" s="9" t="s">
        <v>259</v>
      </c>
      <c r="P129" s="6">
        <v>11.52</v>
      </c>
      <c r="Q129" s="6">
        <v>11.7</v>
      </c>
      <c r="R129" s="6">
        <v>44.3</v>
      </c>
      <c r="S129" s="15">
        <f t="shared" si="7"/>
        <v>11.559272727272727</v>
      </c>
      <c r="T129" s="10">
        <f t="shared" si="6"/>
        <v>9081.7794835452696</v>
      </c>
      <c r="U129" s="11">
        <f t="shared" si="8"/>
        <v>8101.4982012000619</v>
      </c>
      <c r="V129" s="10">
        <v>72.760000000000005</v>
      </c>
      <c r="W129" s="10">
        <v>49.28</v>
      </c>
      <c r="X129" s="7"/>
    </row>
    <row r="130" spans="1:24" x14ac:dyDescent="0.25">
      <c r="A130" s="7">
        <v>2024</v>
      </c>
      <c r="B130" s="6" t="s">
        <v>125</v>
      </c>
      <c r="C130" s="6" t="s">
        <v>126</v>
      </c>
      <c r="D130" s="6" t="s">
        <v>127</v>
      </c>
      <c r="E130" s="8" t="s">
        <v>128</v>
      </c>
      <c r="F130" s="6" t="s">
        <v>178</v>
      </c>
      <c r="G130" s="6">
        <v>407</v>
      </c>
      <c r="H130" s="6">
        <v>7</v>
      </c>
      <c r="I130" s="6">
        <v>7</v>
      </c>
      <c r="J130" s="6">
        <v>4</v>
      </c>
      <c r="K130" s="6">
        <v>2</v>
      </c>
      <c r="L130" t="s">
        <v>252</v>
      </c>
      <c r="M130" s="8" t="s">
        <v>31</v>
      </c>
      <c r="N130" s="8" t="s">
        <v>470</v>
      </c>
      <c r="O130" s="9" t="s">
        <v>259</v>
      </c>
      <c r="P130" s="6">
        <v>9.9700000000000006</v>
      </c>
      <c r="Q130" s="6">
        <v>11</v>
      </c>
      <c r="R130" s="6">
        <v>44.5</v>
      </c>
      <c r="S130" s="15">
        <f t="shared" si="7"/>
        <v>10.083295454545455</v>
      </c>
      <c r="T130" s="10">
        <f t="shared" si="6"/>
        <v>7922.1476944269707</v>
      </c>
      <c r="U130" s="11">
        <f t="shared" si="8"/>
        <v>7067.0363018973867</v>
      </c>
      <c r="V130" s="10">
        <v>72.27</v>
      </c>
      <c r="W130" s="10">
        <v>47.6</v>
      </c>
      <c r="X130" s="7"/>
    </row>
    <row r="131" spans="1:24" x14ac:dyDescent="0.25">
      <c r="A131" s="7">
        <v>2024</v>
      </c>
      <c r="B131" s="6" t="s">
        <v>125</v>
      </c>
      <c r="C131" s="6" t="s">
        <v>126</v>
      </c>
      <c r="D131" s="6" t="s">
        <v>127</v>
      </c>
      <c r="E131" s="8" t="s">
        <v>128</v>
      </c>
      <c r="F131" s="6" t="s">
        <v>179</v>
      </c>
      <c r="G131" s="6">
        <v>408</v>
      </c>
      <c r="H131" s="6">
        <v>1</v>
      </c>
      <c r="I131" s="6">
        <v>8</v>
      </c>
      <c r="J131" s="6">
        <v>4</v>
      </c>
      <c r="K131" s="6">
        <v>8</v>
      </c>
      <c r="L131" t="s">
        <v>252</v>
      </c>
      <c r="M131" s="8" t="s">
        <v>33</v>
      </c>
      <c r="N131" s="8" t="s">
        <v>58</v>
      </c>
      <c r="O131" s="9" t="s">
        <v>467</v>
      </c>
      <c r="P131" s="6">
        <v>10.24</v>
      </c>
      <c r="Q131" s="6">
        <v>11.5</v>
      </c>
      <c r="R131" s="6">
        <v>43.9</v>
      </c>
      <c r="S131" s="15">
        <f t="shared" si="7"/>
        <v>10.298181818181819</v>
      </c>
      <c r="T131" s="10">
        <f t="shared" si="6"/>
        <v>8090.9775693344054</v>
      </c>
      <c r="U131" s="11">
        <f t="shared" si="8"/>
        <v>7217.6427915561153</v>
      </c>
      <c r="V131" s="10"/>
      <c r="W131" s="10"/>
      <c r="X131" s="7"/>
    </row>
    <row r="132" spans="1:24" x14ac:dyDescent="0.25">
      <c r="A132" s="7">
        <v>2024</v>
      </c>
      <c r="B132" s="6" t="s">
        <v>125</v>
      </c>
      <c r="C132" s="6" t="s">
        <v>126</v>
      </c>
      <c r="D132" s="6" t="s">
        <v>127</v>
      </c>
      <c r="E132" s="8" t="s">
        <v>128</v>
      </c>
      <c r="F132" s="6" t="s">
        <v>180</v>
      </c>
      <c r="G132" s="6">
        <v>409</v>
      </c>
      <c r="H132" s="6">
        <v>2</v>
      </c>
      <c r="I132" s="6">
        <v>8</v>
      </c>
      <c r="J132" s="6">
        <v>4</v>
      </c>
      <c r="K132" s="6">
        <v>14</v>
      </c>
      <c r="L132" t="s">
        <v>252</v>
      </c>
      <c r="M132" s="8" t="s">
        <v>137</v>
      </c>
      <c r="N132" s="8" t="s">
        <v>61</v>
      </c>
      <c r="O132" s="9" t="s">
        <v>468</v>
      </c>
      <c r="P132" s="6">
        <v>10.34</v>
      </c>
      <c r="Q132" s="6">
        <v>12.2</v>
      </c>
      <c r="R132" s="6">
        <v>44.7</v>
      </c>
      <c r="S132" s="15">
        <f t="shared" si="7"/>
        <v>10.3165</v>
      </c>
      <c r="T132" s="10">
        <f t="shared" si="6"/>
        <v>8105.3696242445476</v>
      </c>
      <c r="U132" s="11">
        <f t="shared" si="8"/>
        <v>7230.4813775598104</v>
      </c>
      <c r="V132" s="10">
        <v>72.88</v>
      </c>
      <c r="W132" s="10">
        <v>51.02</v>
      </c>
      <c r="X132" s="7"/>
    </row>
    <row r="133" spans="1:24" x14ac:dyDescent="0.25">
      <c r="A133" s="7">
        <v>2024</v>
      </c>
      <c r="B133" s="6" t="s">
        <v>125</v>
      </c>
      <c r="C133" s="6" t="s">
        <v>126</v>
      </c>
      <c r="D133" s="6" t="s">
        <v>127</v>
      </c>
      <c r="E133" s="8" t="s">
        <v>128</v>
      </c>
      <c r="F133" s="6" t="s">
        <v>181</v>
      </c>
      <c r="G133" s="6">
        <v>410</v>
      </c>
      <c r="H133" s="6">
        <v>3</v>
      </c>
      <c r="I133" s="6">
        <v>8</v>
      </c>
      <c r="J133" s="6">
        <v>4</v>
      </c>
      <c r="K133" s="6">
        <v>7</v>
      </c>
      <c r="L133" t="s">
        <v>252</v>
      </c>
      <c r="M133" s="8" t="s">
        <v>31</v>
      </c>
      <c r="N133" s="8" t="s">
        <v>61</v>
      </c>
      <c r="O133" s="9" t="s">
        <v>259</v>
      </c>
      <c r="P133" s="6">
        <v>9.34</v>
      </c>
      <c r="Q133" s="6">
        <v>12.4</v>
      </c>
      <c r="R133" s="6">
        <v>43.5</v>
      </c>
      <c r="S133" s="15">
        <f t="shared" si="7"/>
        <v>9.2975454545454532</v>
      </c>
      <c r="T133" s="10">
        <f t="shared" si="6"/>
        <v>7304.8071058310152</v>
      </c>
      <c r="U133" s="11">
        <f t="shared" si="8"/>
        <v>6516.3310489125915</v>
      </c>
      <c r="V133" s="10">
        <v>72.48</v>
      </c>
      <c r="W133" s="10">
        <v>51.38</v>
      </c>
      <c r="X133" s="7"/>
    </row>
    <row r="134" spans="1:24" x14ac:dyDescent="0.25">
      <c r="A134" s="7">
        <v>2024</v>
      </c>
      <c r="B134" s="6" t="s">
        <v>125</v>
      </c>
      <c r="C134" s="6" t="s">
        <v>126</v>
      </c>
      <c r="D134" s="6" t="s">
        <v>127</v>
      </c>
      <c r="E134" s="8" t="s">
        <v>128</v>
      </c>
      <c r="F134" s="6" t="s">
        <v>182</v>
      </c>
      <c r="G134" s="6">
        <v>411</v>
      </c>
      <c r="H134" s="6">
        <v>4</v>
      </c>
      <c r="I134" s="6">
        <v>8</v>
      </c>
      <c r="J134" s="6">
        <v>4</v>
      </c>
      <c r="K134" s="6">
        <v>6</v>
      </c>
      <c r="L134" t="s">
        <v>252</v>
      </c>
      <c r="M134" s="8" t="s">
        <v>31</v>
      </c>
      <c r="N134" s="8" t="s">
        <v>59</v>
      </c>
      <c r="O134" s="9" t="s">
        <v>259</v>
      </c>
      <c r="P134" s="6">
        <v>9.9600000000000009</v>
      </c>
      <c r="Q134" s="6">
        <v>11.9</v>
      </c>
      <c r="R134" s="6">
        <v>44</v>
      </c>
      <c r="S134" s="15">
        <f t="shared" si="7"/>
        <v>9.971318181818182</v>
      </c>
      <c r="T134" s="10">
        <f t="shared" si="6"/>
        <v>7834.1704555407796</v>
      </c>
      <c r="U134" s="11">
        <f t="shared" si="8"/>
        <v>6988.5552681006066</v>
      </c>
      <c r="V134" s="10">
        <v>72.040000000000006</v>
      </c>
      <c r="W134" s="10">
        <v>50.41</v>
      </c>
      <c r="X134" s="7"/>
    </row>
    <row r="135" spans="1:24" x14ac:dyDescent="0.25">
      <c r="A135" s="7">
        <v>2024</v>
      </c>
      <c r="B135" s="6" t="s">
        <v>125</v>
      </c>
      <c r="C135" s="6" t="s">
        <v>126</v>
      </c>
      <c r="D135" s="6" t="s">
        <v>127</v>
      </c>
      <c r="E135" s="8" t="s">
        <v>128</v>
      </c>
      <c r="F135" s="6" t="s">
        <v>183</v>
      </c>
      <c r="G135" s="6">
        <v>412</v>
      </c>
      <c r="H135" s="6">
        <v>5</v>
      </c>
      <c r="I135" s="6">
        <v>8</v>
      </c>
      <c r="J135" s="6">
        <v>4</v>
      </c>
      <c r="K135" s="6">
        <v>11</v>
      </c>
      <c r="L135" t="s">
        <v>252</v>
      </c>
      <c r="M135" s="8" t="s">
        <v>137</v>
      </c>
      <c r="N135" s="8" t="s">
        <v>60</v>
      </c>
      <c r="O135" s="9" t="s">
        <v>468</v>
      </c>
      <c r="P135" s="6">
        <v>10.68</v>
      </c>
      <c r="Q135" s="6">
        <v>10.9</v>
      </c>
      <c r="R135" s="6">
        <v>44.9</v>
      </c>
      <c r="S135" s="15">
        <f t="shared" si="7"/>
        <v>10.813499999999999</v>
      </c>
      <c r="T135" s="10">
        <f t="shared" si="6"/>
        <v>8495.8478584566874</v>
      </c>
      <c r="U135" s="11">
        <f t="shared" si="8"/>
        <v>7578.8116489354925</v>
      </c>
      <c r="V135" s="10">
        <v>72.28</v>
      </c>
      <c r="W135" s="10">
        <v>46.26</v>
      </c>
      <c r="X135" s="7"/>
    </row>
    <row r="136" spans="1:24" x14ac:dyDescent="0.25">
      <c r="A136" s="7">
        <v>2024</v>
      </c>
      <c r="B136" s="6" t="s">
        <v>125</v>
      </c>
      <c r="C136" s="6" t="s">
        <v>126</v>
      </c>
      <c r="D136" s="6" t="s">
        <v>127</v>
      </c>
      <c r="E136" s="8" t="s">
        <v>128</v>
      </c>
      <c r="F136" s="6" t="s">
        <v>184</v>
      </c>
      <c r="G136" s="6">
        <v>413</v>
      </c>
      <c r="H136" s="6">
        <v>6</v>
      </c>
      <c r="I136" s="6">
        <v>8</v>
      </c>
      <c r="J136" s="6">
        <v>4</v>
      </c>
      <c r="K136" s="6">
        <v>10</v>
      </c>
      <c r="L136" t="s">
        <v>252</v>
      </c>
      <c r="M136" s="8" t="s">
        <v>137</v>
      </c>
      <c r="N136" s="8" t="s">
        <v>58</v>
      </c>
      <c r="O136" s="9" t="s">
        <v>468</v>
      </c>
      <c r="P136" s="6">
        <v>10.57</v>
      </c>
      <c r="Q136" s="6">
        <v>12.4</v>
      </c>
      <c r="R136" s="6">
        <v>43.8</v>
      </c>
      <c r="S136" s="15">
        <f t="shared" si="7"/>
        <v>10.521954545454546</v>
      </c>
      <c r="T136" s="10">
        <f t="shared" si="6"/>
        <v>8266.7891979265369</v>
      </c>
      <c r="U136" s="11">
        <f t="shared" si="8"/>
        <v>7374.4774290156438</v>
      </c>
      <c r="V136" s="10">
        <v>71.92</v>
      </c>
      <c r="W136" s="10">
        <v>46.28</v>
      </c>
      <c r="X136" s="7"/>
    </row>
    <row r="137" spans="1:24" x14ac:dyDescent="0.25">
      <c r="A137" s="7">
        <v>2024</v>
      </c>
      <c r="B137" s="6" t="s">
        <v>125</v>
      </c>
      <c r="C137" s="6" t="s">
        <v>126</v>
      </c>
      <c r="D137" s="6" t="s">
        <v>127</v>
      </c>
      <c r="E137" s="8" t="s">
        <v>128</v>
      </c>
      <c r="F137" s="6" t="s">
        <v>185</v>
      </c>
      <c r="G137" s="6">
        <v>414</v>
      </c>
      <c r="H137" s="6">
        <v>7</v>
      </c>
      <c r="I137" s="6">
        <v>8</v>
      </c>
      <c r="J137" s="6">
        <v>4</v>
      </c>
      <c r="K137" s="6">
        <v>13</v>
      </c>
      <c r="L137" t="s">
        <v>252</v>
      </c>
      <c r="M137" s="8" t="s">
        <v>137</v>
      </c>
      <c r="N137" s="8" t="s">
        <v>59</v>
      </c>
      <c r="O137" s="9" t="s">
        <v>468</v>
      </c>
      <c r="P137" s="6">
        <v>11.4</v>
      </c>
      <c r="Q137" s="6">
        <v>12.6</v>
      </c>
      <c r="R137" s="6">
        <v>53.1</v>
      </c>
      <c r="S137" s="15">
        <f t="shared" si="7"/>
        <v>11.322272727272727</v>
      </c>
      <c r="T137" s="10">
        <f t="shared" si="6"/>
        <v>8895.5755770899832</v>
      </c>
      <c r="U137" s="11">
        <f t="shared" si="8"/>
        <v>7935.3930214897264</v>
      </c>
      <c r="V137" s="10">
        <v>70.67</v>
      </c>
      <c r="W137" s="10">
        <v>46.22</v>
      </c>
      <c r="X137" s="7"/>
    </row>
    <row r="138" spans="1:24" x14ac:dyDescent="0.25">
      <c r="A138" s="3">
        <v>2025</v>
      </c>
      <c r="B138" s="2" t="s">
        <v>186</v>
      </c>
      <c r="C138" s="6" t="s">
        <v>187</v>
      </c>
      <c r="D138" s="6" t="s">
        <v>188</v>
      </c>
      <c r="E138" s="6" t="s">
        <v>22</v>
      </c>
      <c r="F138" s="7" t="s">
        <v>189</v>
      </c>
      <c r="G138" s="7">
        <v>101</v>
      </c>
      <c r="H138" s="6">
        <v>1</v>
      </c>
      <c r="I138" s="6">
        <v>1</v>
      </c>
      <c r="J138" s="6">
        <v>1</v>
      </c>
      <c r="K138" s="6">
        <v>14</v>
      </c>
      <c r="L138" s="6" t="s">
        <v>252</v>
      </c>
      <c r="M138" s="8" t="s">
        <v>472</v>
      </c>
      <c r="N138" s="9" t="s">
        <v>61</v>
      </c>
      <c r="O138" s="9" t="s">
        <v>257</v>
      </c>
      <c r="P138" s="10">
        <v>14.23</v>
      </c>
      <c r="Q138" s="10">
        <v>13.2</v>
      </c>
      <c r="R138" s="10">
        <v>43.9</v>
      </c>
      <c r="S138" s="15">
        <f t="shared" si="7"/>
        <v>14.035954545454546</v>
      </c>
      <c r="T138" s="10">
        <f t="shared" si="6"/>
        <v>11027.635304609554</v>
      </c>
      <c r="U138" s="11">
        <f>T138/1.121</f>
        <v>9837.3196294465251</v>
      </c>
      <c r="V138" s="10">
        <v>72</v>
      </c>
      <c r="W138" s="10">
        <v>59.28</v>
      </c>
      <c r="X138" s="7">
        <v>0</v>
      </c>
    </row>
    <row r="139" spans="1:24" x14ac:dyDescent="0.25">
      <c r="A139">
        <v>2025</v>
      </c>
      <c r="B139" s="2" t="s">
        <v>186</v>
      </c>
      <c r="C139" s="6" t="s">
        <v>187</v>
      </c>
      <c r="D139" s="6" t="s">
        <v>188</v>
      </c>
      <c r="E139" s="6" t="s">
        <v>22</v>
      </c>
      <c r="F139" s="7" t="s">
        <v>190</v>
      </c>
      <c r="G139" s="7">
        <v>102</v>
      </c>
      <c r="H139" s="6">
        <v>2</v>
      </c>
      <c r="I139" s="6">
        <v>1</v>
      </c>
      <c r="J139" s="6">
        <v>1</v>
      </c>
      <c r="K139" s="6">
        <v>16</v>
      </c>
      <c r="L139" s="6" t="s">
        <v>252</v>
      </c>
      <c r="M139" s="8" t="s">
        <v>254</v>
      </c>
      <c r="N139" s="9" t="s">
        <v>58</v>
      </c>
      <c r="O139" s="9" t="s">
        <v>258</v>
      </c>
      <c r="P139" s="10">
        <v>14.34</v>
      </c>
      <c r="Q139" s="10">
        <v>12.6</v>
      </c>
      <c r="R139" s="10">
        <v>42.9</v>
      </c>
      <c r="S139" s="15">
        <f t="shared" si="7"/>
        <v>14.242227272727273</v>
      </c>
      <c r="T139" s="10">
        <f t="shared" si="6"/>
        <v>11189.697699602664</v>
      </c>
      <c r="U139" s="11">
        <f t="shared" ref="U139:U202" si="9">T139/1.121</f>
        <v>9981.8891165054993</v>
      </c>
      <c r="V139" s="10">
        <v>71.38</v>
      </c>
      <c r="W139" s="10">
        <v>56.14</v>
      </c>
      <c r="X139" s="7">
        <v>1</v>
      </c>
    </row>
    <row r="140" spans="1:24" x14ac:dyDescent="0.25">
      <c r="A140" s="3">
        <v>2025</v>
      </c>
      <c r="B140" s="2" t="s">
        <v>186</v>
      </c>
      <c r="C140" s="6" t="s">
        <v>187</v>
      </c>
      <c r="D140" s="6" t="s">
        <v>188</v>
      </c>
      <c r="E140" s="6" t="s">
        <v>22</v>
      </c>
      <c r="F140" s="7" t="s">
        <v>191</v>
      </c>
      <c r="G140" s="7">
        <v>103</v>
      </c>
      <c r="H140" s="6">
        <v>3</v>
      </c>
      <c r="I140" s="6">
        <v>1</v>
      </c>
      <c r="J140" s="6">
        <v>1</v>
      </c>
      <c r="K140" s="6">
        <v>13</v>
      </c>
      <c r="L140" s="6" t="s">
        <v>252</v>
      </c>
      <c r="M140" s="8" t="s">
        <v>472</v>
      </c>
      <c r="N140" s="9" t="s">
        <v>59</v>
      </c>
      <c r="O140" s="9" t="s">
        <v>257</v>
      </c>
      <c r="P140" s="10">
        <v>14.79</v>
      </c>
      <c r="Q140" s="10">
        <v>12.2</v>
      </c>
      <c r="R140" s="10">
        <v>43.8</v>
      </c>
      <c r="S140" s="15">
        <f t="shared" si="7"/>
        <v>14.756386363636363</v>
      </c>
      <c r="T140" s="10">
        <f t="shared" si="6"/>
        <v>11593.657325200855</v>
      </c>
      <c r="U140" s="11">
        <f t="shared" si="9"/>
        <v>10342.245606780423</v>
      </c>
      <c r="V140" s="10">
        <v>71.13</v>
      </c>
      <c r="W140" s="10">
        <v>57.94</v>
      </c>
      <c r="X140" s="7">
        <v>1</v>
      </c>
    </row>
    <row r="141" spans="1:24" x14ac:dyDescent="0.25">
      <c r="A141">
        <v>2025</v>
      </c>
      <c r="B141" s="2" t="s">
        <v>186</v>
      </c>
      <c r="C141" s="6" t="s">
        <v>187</v>
      </c>
      <c r="D141" s="6" t="s">
        <v>188</v>
      </c>
      <c r="E141" s="6" t="s">
        <v>22</v>
      </c>
      <c r="F141" s="7" t="s">
        <v>192</v>
      </c>
      <c r="G141" s="7">
        <v>104</v>
      </c>
      <c r="H141" s="6">
        <v>4</v>
      </c>
      <c r="I141" s="6">
        <v>1</v>
      </c>
      <c r="J141" s="6">
        <v>1</v>
      </c>
      <c r="K141" s="6">
        <v>1</v>
      </c>
      <c r="L141" s="6" t="s">
        <v>252</v>
      </c>
      <c r="M141" s="8" t="s">
        <v>471</v>
      </c>
      <c r="N141" s="8" t="s">
        <v>471</v>
      </c>
      <c r="O141" s="8" t="s">
        <v>471</v>
      </c>
      <c r="P141" s="10">
        <v>13.75</v>
      </c>
      <c r="Q141" s="10">
        <v>12</v>
      </c>
      <c r="R141" s="10">
        <v>43.6</v>
      </c>
      <c r="S141" s="15">
        <f t="shared" si="7"/>
        <v>13.75</v>
      </c>
      <c r="T141" s="10">
        <f t="shared" si="6"/>
        <v>10802.969256372076</v>
      </c>
      <c r="U141" s="11">
        <f t="shared" si="9"/>
        <v>9636.9038861481495</v>
      </c>
      <c r="V141" s="10">
        <v>70.930000000000007</v>
      </c>
      <c r="W141" s="10">
        <v>54.85</v>
      </c>
      <c r="X141" s="7">
        <v>0</v>
      </c>
    </row>
    <row r="142" spans="1:24" x14ac:dyDescent="0.25">
      <c r="A142" s="3">
        <v>2025</v>
      </c>
      <c r="B142" s="2" t="s">
        <v>186</v>
      </c>
      <c r="C142" s="6" t="s">
        <v>187</v>
      </c>
      <c r="D142" s="6" t="s">
        <v>188</v>
      </c>
      <c r="E142" s="6" t="s">
        <v>22</v>
      </c>
      <c r="F142" s="7" t="s">
        <v>193</v>
      </c>
      <c r="G142" s="7">
        <v>105</v>
      </c>
      <c r="H142" s="6">
        <v>5</v>
      </c>
      <c r="I142" s="6">
        <v>1</v>
      </c>
      <c r="J142" s="6">
        <v>1</v>
      </c>
      <c r="K142" s="6">
        <v>19</v>
      </c>
      <c r="L142" s="6" t="s">
        <v>252</v>
      </c>
      <c r="M142" s="8" t="s">
        <v>254</v>
      </c>
      <c r="N142" s="9" t="s">
        <v>59</v>
      </c>
      <c r="O142" s="9" t="s">
        <v>258</v>
      </c>
      <c r="P142" s="10">
        <v>14.75</v>
      </c>
      <c r="Q142" s="10">
        <v>11.9</v>
      </c>
      <c r="R142" s="10">
        <v>43.3</v>
      </c>
      <c r="S142" s="15">
        <f t="shared" si="7"/>
        <v>14.766761363636363</v>
      </c>
      <c r="T142" s="10">
        <f t="shared" si="6"/>
        <v>11601.808656548847</v>
      </c>
      <c r="U142" s="11">
        <f t="shared" si="9"/>
        <v>10349.51708880361</v>
      </c>
      <c r="V142" s="10">
        <v>70.91</v>
      </c>
      <c r="W142" s="10">
        <v>55.78</v>
      </c>
      <c r="X142" s="7">
        <v>0</v>
      </c>
    </row>
    <row r="143" spans="1:24" x14ac:dyDescent="0.25">
      <c r="A143">
        <v>2025</v>
      </c>
      <c r="B143" s="2" t="s">
        <v>186</v>
      </c>
      <c r="C143" s="6" t="s">
        <v>187</v>
      </c>
      <c r="D143" s="6" t="s">
        <v>188</v>
      </c>
      <c r="E143" s="6" t="s">
        <v>22</v>
      </c>
      <c r="F143" s="7" t="s">
        <v>194</v>
      </c>
      <c r="G143" s="7">
        <v>106</v>
      </c>
      <c r="H143" s="6">
        <v>6</v>
      </c>
      <c r="I143" s="6">
        <v>1</v>
      </c>
      <c r="J143" s="6">
        <v>1</v>
      </c>
      <c r="K143" s="6">
        <v>15</v>
      </c>
      <c r="L143" s="6" t="s">
        <v>252</v>
      </c>
      <c r="M143" s="8" t="s">
        <v>254</v>
      </c>
      <c r="N143" s="8" t="s">
        <v>470</v>
      </c>
      <c r="O143" s="9" t="s">
        <v>258</v>
      </c>
      <c r="P143" s="10">
        <v>15.05</v>
      </c>
      <c r="Q143" s="10">
        <v>11.8</v>
      </c>
      <c r="R143" s="10">
        <v>43.7</v>
      </c>
      <c r="S143" s="15">
        <f t="shared" si="7"/>
        <v>15.084204545454547</v>
      </c>
      <c r="T143" s="10">
        <f t="shared" si="6"/>
        <v>11851.214397190792</v>
      </c>
      <c r="U143" s="11">
        <f t="shared" si="9"/>
        <v>10572.0021384396</v>
      </c>
      <c r="V143" s="10">
        <v>70.930000000000007</v>
      </c>
      <c r="W143" s="10">
        <v>56.11</v>
      </c>
      <c r="X143" s="7">
        <v>1</v>
      </c>
    </row>
    <row r="144" spans="1:24" x14ac:dyDescent="0.25">
      <c r="A144" s="3">
        <v>2025</v>
      </c>
      <c r="B144" s="2" t="s">
        <v>186</v>
      </c>
      <c r="C144" s="6" t="s">
        <v>187</v>
      </c>
      <c r="D144" s="6" t="s">
        <v>188</v>
      </c>
      <c r="E144" s="6" t="s">
        <v>22</v>
      </c>
      <c r="F144" s="7" t="s">
        <v>195</v>
      </c>
      <c r="G144" s="7">
        <v>107</v>
      </c>
      <c r="H144" s="6">
        <v>7</v>
      </c>
      <c r="I144" s="6">
        <v>1</v>
      </c>
      <c r="J144" s="6">
        <v>1</v>
      </c>
      <c r="K144" s="6">
        <v>3</v>
      </c>
      <c r="L144" s="6" t="s">
        <v>252</v>
      </c>
      <c r="M144" s="8" t="s">
        <v>31</v>
      </c>
      <c r="N144" s="8" t="s">
        <v>470</v>
      </c>
      <c r="O144" s="9" t="s">
        <v>259</v>
      </c>
      <c r="P144" s="10">
        <v>13.73</v>
      </c>
      <c r="Q144" s="10">
        <v>12.1</v>
      </c>
      <c r="R144" s="10">
        <v>43.6</v>
      </c>
      <c r="S144" s="15">
        <f t="shared" si="7"/>
        <v>13.714397727272729</v>
      </c>
      <c r="T144" s="10">
        <f t="shared" si="6"/>
        <v>10774.997601264462</v>
      </c>
      <c r="U144" s="11">
        <f t="shared" si="9"/>
        <v>9611.9514730280662</v>
      </c>
      <c r="V144" s="10">
        <v>70.87</v>
      </c>
      <c r="W144" s="10">
        <v>56.07</v>
      </c>
      <c r="X144" s="7">
        <v>0</v>
      </c>
    </row>
    <row r="145" spans="1:24" x14ac:dyDescent="0.25">
      <c r="A145">
        <v>2025</v>
      </c>
      <c r="B145" s="2" t="s">
        <v>186</v>
      </c>
      <c r="C145" s="6" t="s">
        <v>187</v>
      </c>
      <c r="D145" s="6" t="s">
        <v>188</v>
      </c>
      <c r="E145" s="6" t="s">
        <v>22</v>
      </c>
      <c r="F145" s="7" t="s">
        <v>196</v>
      </c>
      <c r="G145" s="7">
        <v>201</v>
      </c>
      <c r="H145" s="6">
        <v>1</v>
      </c>
      <c r="I145" s="6">
        <v>2</v>
      </c>
      <c r="J145" s="6">
        <v>1</v>
      </c>
      <c r="K145" s="6">
        <v>6</v>
      </c>
      <c r="L145" s="6" t="s">
        <v>252</v>
      </c>
      <c r="M145" s="8" t="s">
        <v>31</v>
      </c>
      <c r="N145" s="9" t="s">
        <v>62</v>
      </c>
      <c r="O145" s="9" t="s">
        <v>259</v>
      </c>
      <c r="P145" s="10">
        <v>12.91</v>
      </c>
      <c r="Q145" s="10">
        <v>12.3</v>
      </c>
      <c r="R145" s="10">
        <v>42.8</v>
      </c>
      <c r="S145" s="15">
        <f t="shared" si="7"/>
        <v>12.865988636363637</v>
      </c>
      <c r="T145" s="10">
        <f t="shared" si="6"/>
        <v>10108.427613925009</v>
      </c>
      <c r="U145" s="11">
        <f t="shared" si="9"/>
        <v>9017.3306101025955</v>
      </c>
      <c r="V145" s="10">
        <v>70.930000000000007</v>
      </c>
      <c r="W145" s="10">
        <v>54.63</v>
      </c>
      <c r="X145" s="7">
        <v>0</v>
      </c>
    </row>
    <row r="146" spans="1:24" x14ac:dyDescent="0.25">
      <c r="A146" s="3">
        <v>2025</v>
      </c>
      <c r="B146" s="2" t="s">
        <v>186</v>
      </c>
      <c r="C146" s="6" t="s">
        <v>187</v>
      </c>
      <c r="D146" s="6" t="s">
        <v>188</v>
      </c>
      <c r="E146" s="6" t="s">
        <v>22</v>
      </c>
      <c r="F146" s="7" t="s">
        <v>197</v>
      </c>
      <c r="G146" s="7">
        <v>202</v>
      </c>
      <c r="H146" s="6">
        <v>2</v>
      </c>
      <c r="I146" s="6">
        <v>2</v>
      </c>
      <c r="J146" s="6">
        <v>1</v>
      </c>
      <c r="K146" s="6">
        <v>20</v>
      </c>
      <c r="L146" s="6" t="s">
        <v>252</v>
      </c>
      <c r="M146" s="8" t="s">
        <v>254</v>
      </c>
      <c r="N146" s="9" t="s">
        <v>61</v>
      </c>
      <c r="O146" s="9" t="s">
        <v>258</v>
      </c>
      <c r="P146" s="10">
        <v>13.72</v>
      </c>
      <c r="Q146" s="10">
        <v>12.5</v>
      </c>
      <c r="R146" s="10">
        <v>43.3</v>
      </c>
      <c r="S146" s="15">
        <f t="shared" si="7"/>
        <v>13.642045454545455</v>
      </c>
      <c r="T146" s="10">
        <f t="shared" si="6"/>
        <v>10718.152555598906</v>
      </c>
      <c r="U146" s="11">
        <f t="shared" si="9"/>
        <v>9561.2422440668215</v>
      </c>
      <c r="V146" s="10">
        <v>70.55</v>
      </c>
      <c r="W146" s="10">
        <v>54.97</v>
      </c>
      <c r="X146" s="7">
        <v>0</v>
      </c>
    </row>
    <row r="147" spans="1:24" x14ac:dyDescent="0.25">
      <c r="A147">
        <v>2025</v>
      </c>
      <c r="B147" s="2" t="s">
        <v>186</v>
      </c>
      <c r="C147" s="6" t="s">
        <v>187</v>
      </c>
      <c r="D147" s="6" t="s">
        <v>188</v>
      </c>
      <c r="E147" s="6" t="s">
        <v>22</v>
      </c>
      <c r="F147" s="7" t="s">
        <v>198</v>
      </c>
      <c r="G147" s="7">
        <v>203</v>
      </c>
      <c r="H147" s="6">
        <v>3</v>
      </c>
      <c r="I147" s="6">
        <v>2</v>
      </c>
      <c r="J147" s="6">
        <v>1</v>
      </c>
      <c r="K147" s="6">
        <v>10</v>
      </c>
      <c r="L147" s="6" t="s">
        <v>252</v>
      </c>
      <c r="M147" s="8" t="s">
        <v>472</v>
      </c>
      <c r="N147" s="9" t="s">
        <v>58</v>
      </c>
      <c r="O147" s="9" t="s">
        <v>257</v>
      </c>
      <c r="P147" s="10">
        <v>13.71</v>
      </c>
      <c r="Q147" s="10">
        <v>11.8</v>
      </c>
      <c r="R147" s="10">
        <v>43.4</v>
      </c>
      <c r="S147" s="15">
        <f t="shared" si="7"/>
        <v>13.741159090909091</v>
      </c>
      <c r="T147" s="10">
        <f t="shared" ref="T147:T210" si="10">((100000*S147*12%/2.205))/((4.66*16)/10.764)</f>
        <v>10796.023214982441</v>
      </c>
      <c r="U147" s="11">
        <f t="shared" si="9"/>
        <v>9630.7075958808564</v>
      </c>
      <c r="V147" s="10">
        <v>71.040000000000006</v>
      </c>
      <c r="W147" s="10">
        <v>55.39</v>
      </c>
      <c r="X147" s="7">
        <v>1</v>
      </c>
    </row>
    <row r="148" spans="1:24" x14ac:dyDescent="0.25">
      <c r="A148" s="3">
        <v>2025</v>
      </c>
      <c r="B148" s="2" t="s">
        <v>186</v>
      </c>
      <c r="C148" s="6" t="s">
        <v>187</v>
      </c>
      <c r="D148" s="6" t="s">
        <v>188</v>
      </c>
      <c r="E148" s="6" t="s">
        <v>22</v>
      </c>
      <c r="F148" s="7" t="s">
        <v>199</v>
      </c>
      <c r="G148" s="7">
        <v>204</v>
      </c>
      <c r="H148" s="6">
        <v>4</v>
      </c>
      <c r="I148" s="6">
        <v>2</v>
      </c>
      <c r="J148" s="6">
        <v>1</v>
      </c>
      <c r="K148" s="6">
        <v>17</v>
      </c>
      <c r="L148" s="6" t="s">
        <v>252</v>
      </c>
      <c r="M148" s="8" t="s">
        <v>254</v>
      </c>
      <c r="N148" s="9" t="s">
        <v>60</v>
      </c>
      <c r="O148" s="9" t="s">
        <v>258</v>
      </c>
      <c r="P148" s="10">
        <v>14.61</v>
      </c>
      <c r="Q148" s="10">
        <v>12.3</v>
      </c>
      <c r="R148" s="10">
        <v>43.9</v>
      </c>
      <c r="S148" s="15">
        <f t="shared" ref="S148:S211" si="11">P148*(1-Q148/100)/(1-0.12)</f>
        <v>14.560193181818182</v>
      </c>
      <c r="T148" s="10">
        <f t="shared" si="10"/>
        <v>11439.514131637829</v>
      </c>
      <c r="U148" s="11">
        <f t="shared" si="9"/>
        <v>10204.740527776832</v>
      </c>
      <c r="V148" s="10">
        <v>70.44</v>
      </c>
      <c r="W148" s="10">
        <v>55.17</v>
      </c>
      <c r="X148" s="7">
        <v>0</v>
      </c>
    </row>
    <row r="149" spans="1:24" x14ac:dyDescent="0.25">
      <c r="A149">
        <v>2025</v>
      </c>
      <c r="B149" s="2" t="s">
        <v>186</v>
      </c>
      <c r="C149" s="6" t="s">
        <v>187</v>
      </c>
      <c r="D149" s="6" t="s">
        <v>188</v>
      </c>
      <c r="E149" s="6" t="s">
        <v>22</v>
      </c>
      <c r="F149" s="7" t="s">
        <v>200</v>
      </c>
      <c r="G149" s="7">
        <v>205</v>
      </c>
      <c r="H149" s="6">
        <v>5</v>
      </c>
      <c r="I149" s="6">
        <v>2</v>
      </c>
      <c r="J149" s="6">
        <v>1</v>
      </c>
      <c r="K149" s="6">
        <v>8</v>
      </c>
      <c r="L149" s="6" t="s">
        <v>252</v>
      </c>
      <c r="M149" s="8" t="s">
        <v>31</v>
      </c>
      <c r="N149" s="9" t="s">
        <v>61</v>
      </c>
      <c r="O149" s="9" t="s">
        <v>259</v>
      </c>
      <c r="P149" s="10">
        <v>13.94</v>
      </c>
      <c r="Q149" s="10">
        <v>11.4</v>
      </c>
      <c r="R149" s="10">
        <v>42.5</v>
      </c>
      <c r="S149" s="15">
        <f t="shared" si="11"/>
        <v>14.035045454545454</v>
      </c>
      <c r="T149" s="10">
        <f t="shared" si="10"/>
        <v>11026.921058708303</v>
      </c>
      <c r="U149" s="11">
        <f t="shared" si="9"/>
        <v>9836.6824787763635</v>
      </c>
      <c r="V149" s="10">
        <v>71.27</v>
      </c>
      <c r="W149" s="10">
        <v>56.29</v>
      </c>
      <c r="X149" s="7">
        <v>1</v>
      </c>
    </row>
    <row r="150" spans="1:24" x14ac:dyDescent="0.25">
      <c r="A150" s="3">
        <v>2025</v>
      </c>
      <c r="B150" s="2" t="s">
        <v>186</v>
      </c>
      <c r="C150" s="6" t="s">
        <v>187</v>
      </c>
      <c r="D150" s="6" t="s">
        <v>188</v>
      </c>
      <c r="E150" s="6" t="s">
        <v>22</v>
      </c>
      <c r="F150" s="7" t="s">
        <v>201</v>
      </c>
      <c r="G150" s="7">
        <v>206</v>
      </c>
      <c r="H150" s="6">
        <v>6</v>
      </c>
      <c r="I150" s="6">
        <v>2</v>
      </c>
      <c r="J150" s="6">
        <v>1</v>
      </c>
      <c r="K150" s="6">
        <v>4</v>
      </c>
      <c r="L150" s="6" t="s">
        <v>252</v>
      </c>
      <c r="M150" s="8" t="s">
        <v>31</v>
      </c>
      <c r="N150" s="9" t="s">
        <v>58</v>
      </c>
      <c r="O150" s="9" t="s">
        <v>259</v>
      </c>
      <c r="P150" s="10">
        <v>13.87</v>
      </c>
      <c r="Q150" s="10">
        <v>11.8</v>
      </c>
      <c r="R150" s="10">
        <v>43.6</v>
      </c>
      <c r="S150" s="15">
        <f t="shared" si="11"/>
        <v>13.901522727272727</v>
      </c>
      <c r="T150" s="10">
        <f t="shared" si="10"/>
        <v>10922.016191962543</v>
      </c>
      <c r="U150" s="11">
        <f t="shared" si="9"/>
        <v>9743.1009740968257</v>
      </c>
      <c r="V150" s="10">
        <v>70.73</v>
      </c>
      <c r="W150" s="10">
        <v>55.93</v>
      </c>
      <c r="X150" s="7">
        <v>0</v>
      </c>
    </row>
    <row r="151" spans="1:24" x14ac:dyDescent="0.25">
      <c r="A151">
        <v>2025</v>
      </c>
      <c r="B151" s="2" t="s">
        <v>186</v>
      </c>
      <c r="C151" s="6" t="s">
        <v>187</v>
      </c>
      <c r="D151" s="6" t="s">
        <v>188</v>
      </c>
      <c r="E151" s="6" t="s">
        <v>22</v>
      </c>
      <c r="F151" s="7" t="s">
        <v>202</v>
      </c>
      <c r="G151" s="7">
        <v>207</v>
      </c>
      <c r="H151" s="6">
        <v>7</v>
      </c>
      <c r="I151" s="6">
        <v>2</v>
      </c>
      <c r="J151" s="6">
        <v>1</v>
      </c>
      <c r="K151" s="6">
        <v>2</v>
      </c>
      <c r="L151" s="6" t="s">
        <v>252</v>
      </c>
      <c r="M151" s="8" t="s">
        <v>471</v>
      </c>
      <c r="N151" s="8" t="s">
        <v>471</v>
      </c>
      <c r="O151" s="8" t="s">
        <v>471</v>
      </c>
      <c r="P151" s="10">
        <v>12.67</v>
      </c>
      <c r="Q151" s="10">
        <v>12.2</v>
      </c>
      <c r="R151" s="10">
        <v>42.5</v>
      </c>
      <c r="S151" s="15">
        <f t="shared" si="11"/>
        <v>12.641204545454546</v>
      </c>
      <c r="T151" s="10">
        <f t="shared" si="10"/>
        <v>9931.8213867677387</v>
      </c>
      <c r="U151" s="11">
        <f t="shared" si="9"/>
        <v>8859.7871425225148</v>
      </c>
      <c r="V151" s="10">
        <v>70.64</v>
      </c>
      <c r="W151" s="10">
        <v>55.26</v>
      </c>
      <c r="X151" s="7">
        <v>0</v>
      </c>
    </row>
    <row r="152" spans="1:24" x14ac:dyDescent="0.25">
      <c r="A152" s="3">
        <v>2025</v>
      </c>
      <c r="B152" s="2" t="s">
        <v>186</v>
      </c>
      <c r="C152" s="6" t="s">
        <v>187</v>
      </c>
      <c r="D152" s="6" t="s">
        <v>188</v>
      </c>
      <c r="E152" s="6" t="s">
        <v>22</v>
      </c>
      <c r="F152" s="7" t="s">
        <v>203</v>
      </c>
      <c r="G152" s="7">
        <v>301</v>
      </c>
      <c r="H152" s="6">
        <v>1</v>
      </c>
      <c r="I152" s="6">
        <v>3</v>
      </c>
      <c r="J152" s="6">
        <v>1</v>
      </c>
      <c r="K152" s="6">
        <v>11</v>
      </c>
      <c r="L152" s="6" t="s">
        <v>252</v>
      </c>
      <c r="M152" s="8" t="s">
        <v>472</v>
      </c>
      <c r="N152" s="9" t="s">
        <v>60</v>
      </c>
      <c r="O152" s="9" t="s">
        <v>257</v>
      </c>
      <c r="P152" s="10">
        <v>13.94</v>
      </c>
      <c r="Q152" s="10">
        <v>12.6</v>
      </c>
      <c r="R152" s="10">
        <v>43.7</v>
      </c>
      <c r="S152" s="15">
        <f t="shared" si="11"/>
        <v>13.844954545454545</v>
      </c>
      <c r="T152" s="10">
        <f t="shared" si="10"/>
        <v>10877.572240757403</v>
      </c>
      <c r="U152" s="11">
        <f t="shared" si="9"/>
        <v>9703.4542736462117</v>
      </c>
      <c r="V152" s="10">
        <v>70.53</v>
      </c>
      <c r="W152" s="10">
        <v>52.61</v>
      </c>
      <c r="X152" s="7">
        <v>1</v>
      </c>
    </row>
    <row r="153" spans="1:24" x14ac:dyDescent="0.25">
      <c r="A153">
        <v>2025</v>
      </c>
      <c r="B153" s="2" t="s">
        <v>186</v>
      </c>
      <c r="C153" s="6" t="s">
        <v>187</v>
      </c>
      <c r="D153" s="6" t="s">
        <v>188</v>
      </c>
      <c r="E153" s="6" t="s">
        <v>22</v>
      </c>
      <c r="F153" s="7" t="s">
        <v>204</v>
      </c>
      <c r="G153" s="7">
        <v>302</v>
      </c>
      <c r="H153" s="6">
        <v>2</v>
      </c>
      <c r="I153" s="6">
        <v>3</v>
      </c>
      <c r="J153" s="6">
        <v>1</v>
      </c>
      <c r="K153" s="6">
        <v>7</v>
      </c>
      <c r="L153" s="6" t="s">
        <v>252</v>
      </c>
      <c r="M153" s="8" t="s">
        <v>31</v>
      </c>
      <c r="N153" s="9" t="s">
        <v>59</v>
      </c>
      <c r="O153" s="9" t="s">
        <v>259</v>
      </c>
      <c r="P153" s="10">
        <v>14.15</v>
      </c>
      <c r="Q153" s="10">
        <v>12.4</v>
      </c>
      <c r="R153" s="10">
        <v>43.7</v>
      </c>
      <c r="S153" s="15">
        <f t="shared" si="11"/>
        <v>14.085681818181818</v>
      </c>
      <c r="T153" s="10">
        <f t="shared" si="10"/>
        <v>11066.704555407805</v>
      </c>
      <c r="U153" s="11">
        <f t="shared" si="9"/>
        <v>9872.1717711041965</v>
      </c>
      <c r="V153" s="10">
        <v>70.209999999999994</v>
      </c>
      <c r="W153" s="10">
        <v>53.53</v>
      </c>
      <c r="X153" s="7">
        <v>0</v>
      </c>
    </row>
    <row r="154" spans="1:24" x14ac:dyDescent="0.25">
      <c r="A154" s="3">
        <v>2025</v>
      </c>
      <c r="B154" s="2" t="s">
        <v>186</v>
      </c>
      <c r="C154" s="6" t="s">
        <v>187</v>
      </c>
      <c r="D154" s="6" t="s">
        <v>188</v>
      </c>
      <c r="E154" s="6" t="s">
        <v>22</v>
      </c>
      <c r="F154" s="7" t="s">
        <v>205</v>
      </c>
      <c r="G154" s="7">
        <v>303</v>
      </c>
      <c r="H154" s="6">
        <v>3</v>
      </c>
      <c r="I154" s="6">
        <v>3</v>
      </c>
      <c r="J154" s="6">
        <v>1</v>
      </c>
      <c r="K154" s="6">
        <v>9</v>
      </c>
      <c r="L154" s="6" t="s">
        <v>252</v>
      </c>
      <c r="M154" s="8" t="s">
        <v>472</v>
      </c>
      <c r="N154" s="8" t="s">
        <v>470</v>
      </c>
      <c r="O154" s="9" t="s">
        <v>257</v>
      </c>
      <c r="P154" s="10">
        <v>12.41</v>
      </c>
      <c r="Q154" s="10">
        <v>12.1</v>
      </c>
      <c r="R154" s="10">
        <v>43.3</v>
      </c>
      <c r="S154" s="15">
        <f t="shared" si="11"/>
        <v>12.395897727272729</v>
      </c>
      <c r="T154" s="10">
        <f t="shared" si="10"/>
        <v>9739.0910583898003</v>
      </c>
      <c r="U154" s="11">
        <f t="shared" si="9"/>
        <v>8687.8599985636047</v>
      </c>
      <c r="V154" s="10">
        <v>70.25</v>
      </c>
      <c r="W154" s="10">
        <v>53.04</v>
      </c>
      <c r="X154" s="7">
        <v>0</v>
      </c>
    </row>
    <row r="155" spans="1:24" x14ac:dyDescent="0.25">
      <c r="A155">
        <v>2025</v>
      </c>
      <c r="B155" s="2" t="s">
        <v>186</v>
      </c>
      <c r="C155" s="6" t="s">
        <v>187</v>
      </c>
      <c r="D155" s="6" t="s">
        <v>188</v>
      </c>
      <c r="E155" s="6" t="s">
        <v>22</v>
      </c>
      <c r="F155" s="7" t="s">
        <v>206</v>
      </c>
      <c r="G155" s="7">
        <v>304</v>
      </c>
      <c r="H155" s="6">
        <v>4</v>
      </c>
      <c r="I155" s="6">
        <v>3</v>
      </c>
      <c r="J155" s="6">
        <v>1</v>
      </c>
      <c r="K155" s="6">
        <v>21</v>
      </c>
      <c r="L155" s="6" t="s">
        <v>252</v>
      </c>
      <c r="M155" s="8" t="s">
        <v>471</v>
      </c>
      <c r="N155" s="8" t="s">
        <v>471</v>
      </c>
      <c r="O155" s="8" t="s">
        <v>471</v>
      </c>
      <c r="P155" s="10">
        <v>12.71</v>
      </c>
      <c r="Q155" s="10">
        <v>12.6</v>
      </c>
      <c r="R155" s="10">
        <v>44</v>
      </c>
      <c r="S155" s="15">
        <f t="shared" si="11"/>
        <v>12.62334090909091</v>
      </c>
      <c r="T155" s="10">
        <f t="shared" si="10"/>
        <v>9917.7864548082216</v>
      </c>
      <c r="U155" s="11">
        <f t="shared" si="9"/>
        <v>8847.2671318538996</v>
      </c>
      <c r="V155" s="10">
        <v>69.81</v>
      </c>
      <c r="W155" s="10">
        <v>51.76</v>
      </c>
      <c r="X155" s="7">
        <v>0</v>
      </c>
    </row>
    <row r="156" spans="1:24" x14ac:dyDescent="0.25">
      <c r="A156" s="3">
        <v>2025</v>
      </c>
      <c r="B156" s="2" t="s">
        <v>186</v>
      </c>
      <c r="C156" s="6" t="s">
        <v>187</v>
      </c>
      <c r="D156" s="6" t="s">
        <v>188</v>
      </c>
      <c r="E156" s="6" t="s">
        <v>22</v>
      </c>
      <c r="F156" s="7" t="s">
        <v>207</v>
      </c>
      <c r="G156" s="7">
        <v>305</v>
      </c>
      <c r="H156" s="6">
        <v>5</v>
      </c>
      <c r="I156" s="6">
        <v>3</v>
      </c>
      <c r="J156" s="6">
        <v>1</v>
      </c>
      <c r="K156" s="6">
        <v>12</v>
      </c>
      <c r="L156" s="6" t="s">
        <v>252</v>
      </c>
      <c r="M156" s="8" t="s">
        <v>472</v>
      </c>
      <c r="N156" s="9" t="s">
        <v>62</v>
      </c>
      <c r="O156" s="9" t="s">
        <v>257</v>
      </c>
      <c r="P156" s="10">
        <v>12.93</v>
      </c>
      <c r="Q156" s="10">
        <v>11.8</v>
      </c>
      <c r="R156" s="10">
        <v>43.1</v>
      </c>
      <c r="S156" s="15">
        <f t="shared" si="11"/>
        <v>12.959386363636362</v>
      </c>
      <c r="T156" s="10">
        <f t="shared" si="10"/>
        <v>10181.807452204446</v>
      </c>
      <c r="U156" s="11">
        <f t="shared" si="9"/>
        <v>9082.7898770780066</v>
      </c>
      <c r="V156" s="10">
        <v>70.34</v>
      </c>
      <c r="W156" s="10">
        <v>54.67</v>
      </c>
      <c r="X156" s="7">
        <v>0</v>
      </c>
    </row>
    <row r="157" spans="1:24" x14ac:dyDescent="0.25">
      <c r="A157">
        <v>2025</v>
      </c>
      <c r="B157" s="2" t="s">
        <v>186</v>
      </c>
      <c r="C157" s="6" t="s">
        <v>187</v>
      </c>
      <c r="D157" s="6" t="s">
        <v>188</v>
      </c>
      <c r="E157" s="6" t="s">
        <v>22</v>
      </c>
      <c r="F157" s="7" t="s">
        <v>208</v>
      </c>
      <c r="G157" s="7">
        <v>306</v>
      </c>
      <c r="H157" s="6">
        <v>6</v>
      </c>
      <c r="I157" s="6">
        <v>3</v>
      </c>
      <c r="J157" s="6">
        <v>1</v>
      </c>
      <c r="K157" s="6">
        <v>5</v>
      </c>
      <c r="L157" s="6" t="s">
        <v>252</v>
      </c>
      <c r="M157" s="8" t="s">
        <v>31</v>
      </c>
      <c r="N157" s="9" t="s">
        <v>60</v>
      </c>
      <c r="O157" s="9" t="s">
        <v>259</v>
      </c>
      <c r="P157" s="10">
        <v>14.57</v>
      </c>
      <c r="Q157" s="10">
        <v>12.4</v>
      </c>
      <c r="R157" s="10">
        <v>44.2</v>
      </c>
      <c r="S157" s="15">
        <f t="shared" si="11"/>
        <v>14.503772727272727</v>
      </c>
      <c r="T157" s="10">
        <f t="shared" si="10"/>
        <v>11395.186245391638</v>
      </c>
      <c r="U157" s="11">
        <f t="shared" si="9"/>
        <v>10165.197364310114</v>
      </c>
      <c r="V157" s="10">
        <v>70.58</v>
      </c>
      <c r="W157" s="10">
        <v>54.38</v>
      </c>
      <c r="X157" s="7">
        <v>1</v>
      </c>
    </row>
    <row r="158" spans="1:24" x14ac:dyDescent="0.25">
      <c r="A158" s="3">
        <v>2025</v>
      </c>
      <c r="B158" s="2" t="s">
        <v>186</v>
      </c>
      <c r="C158" s="6" t="s">
        <v>187</v>
      </c>
      <c r="D158" s="6" t="s">
        <v>188</v>
      </c>
      <c r="E158" s="6" t="s">
        <v>22</v>
      </c>
      <c r="F158" s="7" t="s">
        <v>209</v>
      </c>
      <c r="G158" s="7">
        <v>307</v>
      </c>
      <c r="H158" s="6">
        <v>7</v>
      </c>
      <c r="I158" s="6">
        <v>3</v>
      </c>
      <c r="J158" s="6">
        <v>1</v>
      </c>
      <c r="K158" s="6">
        <v>18</v>
      </c>
      <c r="L158" s="6" t="s">
        <v>252</v>
      </c>
      <c r="M158" s="8" t="s">
        <v>254</v>
      </c>
      <c r="N158" s="9" t="s">
        <v>62</v>
      </c>
      <c r="O158" s="9" t="s">
        <v>258</v>
      </c>
      <c r="P158" s="10">
        <v>13.98</v>
      </c>
      <c r="Q158" s="10">
        <v>12.5</v>
      </c>
      <c r="R158" s="10">
        <v>43.6</v>
      </c>
      <c r="S158" s="15">
        <f t="shared" si="11"/>
        <v>13.900568181818182</v>
      </c>
      <c r="T158" s="10">
        <f t="shared" si="10"/>
        <v>10921.266233766233</v>
      </c>
      <c r="U158" s="11">
        <f t="shared" si="9"/>
        <v>9742.4319658931599</v>
      </c>
      <c r="V158" s="10">
        <v>70.72</v>
      </c>
      <c r="W158" s="10">
        <v>55.81</v>
      </c>
      <c r="X158" s="7">
        <v>0</v>
      </c>
    </row>
    <row r="159" spans="1:24" x14ac:dyDescent="0.25">
      <c r="A159">
        <v>2025</v>
      </c>
      <c r="B159" s="2" t="s">
        <v>186</v>
      </c>
      <c r="C159" s="6" t="s">
        <v>187</v>
      </c>
      <c r="D159" s="6" t="s">
        <v>188</v>
      </c>
      <c r="E159" s="6" t="s">
        <v>22</v>
      </c>
      <c r="F159" s="7" t="s">
        <v>210</v>
      </c>
      <c r="G159" s="7">
        <v>401</v>
      </c>
      <c r="H159" s="6">
        <v>1</v>
      </c>
      <c r="I159" s="6">
        <v>4</v>
      </c>
      <c r="J159" s="6">
        <v>2</v>
      </c>
      <c r="K159" s="6">
        <v>5</v>
      </c>
      <c r="L159" s="6" t="s">
        <v>252</v>
      </c>
      <c r="M159" s="8" t="s">
        <v>31</v>
      </c>
      <c r="N159" s="9" t="s">
        <v>60</v>
      </c>
      <c r="O159" s="9" t="s">
        <v>259</v>
      </c>
      <c r="P159" s="10">
        <v>13.32</v>
      </c>
      <c r="Q159" s="10">
        <v>12.4</v>
      </c>
      <c r="R159" s="10">
        <v>43.8</v>
      </c>
      <c r="S159" s="15">
        <f t="shared" si="11"/>
        <v>13.259454545454545</v>
      </c>
      <c r="T159" s="10">
        <f t="shared" si="10"/>
        <v>10417.562168058796</v>
      </c>
      <c r="U159" s="11">
        <f t="shared" si="9"/>
        <v>9293.0973845305944</v>
      </c>
      <c r="V159" s="10">
        <v>70.81</v>
      </c>
      <c r="W159" s="10">
        <v>53.43</v>
      </c>
      <c r="X159" s="7">
        <v>0</v>
      </c>
    </row>
    <row r="160" spans="1:24" x14ac:dyDescent="0.25">
      <c r="A160" s="3">
        <v>2025</v>
      </c>
      <c r="B160" s="2" t="s">
        <v>186</v>
      </c>
      <c r="C160" s="6" t="s">
        <v>187</v>
      </c>
      <c r="D160" s="6" t="s">
        <v>188</v>
      </c>
      <c r="E160" s="6" t="s">
        <v>22</v>
      </c>
      <c r="F160" s="7" t="s">
        <v>211</v>
      </c>
      <c r="G160" s="7">
        <v>402</v>
      </c>
      <c r="H160" s="6">
        <v>2</v>
      </c>
      <c r="I160" s="6">
        <v>4</v>
      </c>
      <c r="J160" s="6">
        <v>2</v>
      </c>
      <c r="K160" s="6">
        <v>17</v>
      </c>
      <c r="L160" s="6" t="s">
        <v>252</v>
      </c>
      <c r="M160" s="8" t="s">
        <v>254</v>
      </c>
      <c r="N160" s="9" t="s">
        <v>60</v>
      </c>
      <c r="O160" s="9" t="s">
        <v>258</v>
      </c>
      <c r="P160" s="10">
        <v>14.55</v>
      </c>
      <c r="Q160" s="10">
        <v>12.2</v>
      </c>
      <c r="R160" s="10">
        <v>43.4</v>
      </c>
      <c r="S160" s="15">
        <f t="shared" si="11"/>
        <v>14.516931818181819</v>
      </c>
      <c r="T160" s="10">
        <f t="shared" si="10"/>
        <v>11405.524954812203</v>
      </c>
      <c r="U160" s="11">
        <f t="shared" si="9"/>
        <v>10174.420120260662</v>
      </c>
      <c r="V160" s="10">
        <v>69.72</v>
      </c>
      <c r="W160" s="10">
        <v>53.23</v>
      </c>
      <c r="X160" s="7">
        <v>0</v>
      </c>
    </row>
    <row r="161" spans="1:24" x14ac:dyDescent="0.25">
      <c r="A161">
        <v>2025</v>
      </c>
      <c r="B161" s="2" t="s">
        <v>186</v>
      </c>
      <c r="C161" s="6" t="s">
        <v>187</v>
      </c>
      <c r="D161" s="6" t="s">
        <v>188</v>
      </c>
      <c r="E161" s="6" t="s">
        <v>22</v>
      </c>
      <c r="F161" s="7" t="s">
        <v>212</v>
      </c>
      <c r="G161" s="7">
        <v>403</v>
      </c>
      <c r="H161" s="6">
        <v>3</v>
      </c>
      <c r="I161" s="6">
        <v>4</v>
      </c>
      <c r="J161" s="6">
        <v>2</v>
      </c>
      <c r="K161" s="6">
        <v>11</v>
      </c>
      <c r="L161" s="6" t="s">
        <v>252</v>
      </c>
      <c r="M161" s="8" t="s">
        <v>472</v>
      </c>
      <c r="N161" s="9" t="s">
        <v>60</v>
      </c>
      <c r="O161" s="9" t="s">
        <v>257</v>
      </c>
      <c r="P161" s="10">
        <v>13.76</v>
      </c>
      <c r="Q161" s="10">
        <v>12.2</v>
      </c>
      <c r="R161" s="10">
        <v>43</v>
      </c>
      <c r="S161" s="15">
        <f t="shared" si="11"/>
        <v>13.728727272727273</v>
      </c>
      <c r="T161" s="10">
        <f t="shared" si="10"/>
        <v>10786.255902282879</v>
      </c>
      <c r="U161" s="11">
        <f t="shared" si="9"/>
        <v>9621.9945604664408</v>
      </c>
      <c r="V161" s="10">
        <v>70.33</v>
      </c>
      <c r="W161" s="10">
        <v>53.16</v>
      </c>
      <c r="X161" s="7">
        <v>1</v>
      </c>
    </row>
    <row r="162" spans="1:24" x14ac:dyDescent="0.25">
      <c r="A162" s="3">
        <v>2025</v>
      </c>
      <c r="B162" s="2" t="s">
        <v>186</v>
      </c>
      <c r="C162" s="6" t="s">
        <v>187</v>
      </c>
      <c r="D162" s="6" t="s">
        <v>188</v>
      </c>
      <c r="E162" s="6" t="s">
        <v>22</v>
      </c>
      <c r="F162" s="7" t="s">
        <v>213</v>
      </c>
      <c r="G162" s="7">
        <v>404</v>
      </c>
      <c r="H162" s="6">
        <v>4</v>
      </c>
      <c r="I162" s="6">
        <v>4</v>
      </c>
      <c r="J162" s="6">
        <v>2</v>
      </c>
      <c r="K162" s="6">
        <v>13</v>
      </c>
      <c r="L162" s="6" t="s">
        <v>252</v>
      </c>
      <c r="M162" s="8" t="s">
        <v>472</v>
      </c>
      <c r="N162" s="9" t="s">
        <v>59</v>
      </c>
      <c r="O162" s="9" t="s">
        <v>257</v>
      </c>
      <c r="P162" s="10">
        <v>13.82</v>
      </c>
      <c r="Q162" s="10">
        <v>12.7</v>
      </c>
      <c r="R162" s="10">
        <v>43.7</v>
      </c>
      <c r="S162" s="15">
        <f t="shared" si="11"/>
        <v>13.710068181818182</v>
      </c>
      <c r="T162" s="10">
        <f t="shared" si="10"/>
        <v>10771.596005159769</v>
      </c>
      <c r="U162" s="11">
        <f t="shared" si="9"/>
        <v>9608.9170429614351</v>
      </c>
      <c r="V162" s="10">
        <v>70.37</v>
      </c>
      <c r="W162" s="10">
        <v>56.13</v>
      </c>
      <c r="X162" s="7">
        <v>0</v>
      </c>
    </row>
    <row r="163" spans="1:24" x14ac:dyDescent="0.25">
      <c r="A163">
        <v>2025</v>
      </c>
      <c r="B163" s="2" t="s">
        <v>186</v>
      </c>
      <c r="C163" s="6" t="s">
        <v>187</v>
      </c>
      <c r="D163" s="6" t="s">
        <v>188</v>
      </c>
      <c r="E163" s="6" t="s">
        <v>22</v>
      </c>
      <c r="F163" s="7" t="s">
        <v>214</v>
      </c>
      <c r="G163" s="7">
        <v>405</v>
      </c>
      <c r="H163" s="6">
        <v>5</v>
      </c>
      <c r="I163" s="6">
        <v>4</v>
      </c>
      <c r="J163" s="6">
        <v>2</v>
      </c>
      <c r="K163" s="6">
        <v>3</v>
      </c>
      <c r="L163" s="6" t="s">
        <v>252</v>
      </c>
      <c r="M163" s="8" t="s">
        <v>31</v>
      </c>
      <c r="N163" s="8" t="s">
        <v>470</v>
      </c>
      <c r="O163" s="9" t="s">
        <v>259</v>
      </c>
      <c r="P163" s="10">
        <v>14.18</v>
      </c>
      <c r="Q163" s="10">
        <v>12.1</v>
      </c>
      <c r="R163" s="10">
        <v>43.6</v>
      </c>
      <c r="S163" s="15">
        <f t="shared" si="11"/>
        <v>14.163886363636363</v>
      </c>
      <c r="T163" s="10">
        <f t="shared" si="10"/>
        <v>11128.147559062641</v>
      </c>
      <c r="U163" s="11">
        <f t="shared" si="9"/>
        <v>9926.9826575045863</v>
      </c>
      <c r="V163" s="10">
        <v>70.61</v>
      </c>
      <c r="W163" s="10">
        <v>54.77</v>
      </c>
      <c r="X163" s="7">
        <v>0</v>
      </c>
    </row>
    <row r="164" spans="1:24" x14ac:dyDescent="0.25">
      <c r="A164" s="3">
        <v>2025</v>
      </c>
      <c r="B164" s="2" t="s">
        <v>186</v>
      </c>
      <c r="C164" s="6" t="s">
        <v>187</v>
      </c>
      <c r="D164" s="6" t="s">
        <v>188</v>
      </c>
      <c r="E164" s="6" t="s">
        <v>22</v>
      </c>
      <c r="F164" s="7" t="s">
        <v>215</v>
      </c>
      <c r="G164" s="7">
        <v>406</v>
      </c>
      <c r="H164" s="6">
        <v>6</v>
      </c>
      <c r="I164" s="6">
        <v>4</v>
      </c>
      <c r="J164" s="6">
        <v>2</v>
      </c>
      <c r="K164" s="6">
        <v>1</v>
      </c>
      <c r="L164" s="6" t="s">
        <v>252</v>
      </c>
      <c r="M164" s="8" t="s">
        <v>471</v>
      </c>
      <c r="N164" s="8" t="s">
        <v>471</v>
      </c>
      <c r="O164" s="8" t="s">
        <v>471</v>
      </c>
      <c r="P164" s="10">
        <v>14.24</v>
      </c>
      <c r="Q164" s="10">
        <v>12.2</v>
      </c>
      <c r="R164" s="10">
        <v>43.7</v>
      </c>
      <c r="S164" s="15">
        <f t="shared" si="11"/>
        <v>14.207636363636365</v>
      </c>
      <c r="T164" s="10">
        <f t="shared" si="10"/>
        <v>11162.52064306019</v>
      </c>
      <c r="U164" s="11">
        <f t="shared" si="9"/>
        <v>9957.6455335059673</v>
      </c>
      <c r="V164" s="10">
        <v>70.19</v>
      </c>
      <c r="W164" s="10">
        <v>55.23</v>
      </c>
      <c r="X164" s="7">
        <v>1</v>
      </c>
    </row>
    <row r="165" spans="1:24" x14ac:dyDescent="0.25">
      <c r="A165">
        <v>2025</v>
      </c>
      <c r="B165" s="2" t="s">
        <v>186</v>
      </c>
      <c r="C165" s="6" t="s">
        <v>187</v>
      </c>
      <c r="D165" s="6" t="s">
        <v>188</v>
      </c>
      <c r="E165" s="6" t="s">
        <v>22</v>
      </c>
      <c r="F165" s="7" t="s">
        <v>216</v>
      </c>
      <c r="G165" s="7">
        <v>407</v>
      </c>
      <c r="H165" s="6">
        <v>7</v>
      </c>
      <c r="I165" s="6">
        <v>4</v>
      </c>
      <c r="J165" s="6">
        <v>2</v>
      </c>
      <c r="K165" s="6">
        <v>18</v>
      </c>
      <c r="L165" s="6" t="s">
        <v>252</v>
      </c>
      <c r="M165" s="8" t="s">
        <v>254</v>
      </c>
      <c r="N165" s="9" t="s">
        <v>62</v>
      </c>
      <c r="O165" s="9" t="s">
        <v>258</v>
      </c>
      <c r="P165" s="10">
        <v>14.32</v>
      </c>
      <c r="Q165" s="10">
        <v>12.4</v>
      </c>
      <c r="R165" s="10">
        <v>43.3</v>
      </c>
      <c r="S165" s="15">
        <f t="shared" si="11"/>
        <v>14.254909090909091</v>
      </c>
      <c r="T165" s="10">
        <f t="shared" si="10"/>
        <v>11199.66142992507</v>
      </c>
      <c r="U165" s="11">
        <f t="shared" si="9"/>
        <v>9990.7773683542109</v>
      </c>
      <c r="V165" s="10">
        <v>71</v>
      </c>
      <c r="W165" s="10">
        <v>56.84</v>
      </c>
      <c r="X165" s="7">
        <v>1</v>
      </c>
    </row>
    <row r="166" spans="1:24" x14ac:dyDescent="0.25">
      <c r="A166" s="3">
        <v>2025</v>
      </c>
      <c r="B166" s="2" t="s">
        <v>186</v>
      </c>
      <c r="C166" s="6" t="s">
        <v>187</v>
      </c>
      <c r="D166" s="6" t="s">
        <v>188</v>
      </c>
      <c r="E166" s="6" t="s">
        <v>22</v>
      </c>
      <c r="F166" s="7" t="s">
        <v>217</v>
      </c>
      <c r="G166" s="7">
        <v>501</v>
      </c>
      <c r="H166" s="6">
        <v>1</v>
      </c>
      <c r="I166" s="6">
        <v>5</v>
      </c>
      <c r="J166" s="6">
        <v>2</v>
      </c>
      <c r="K166" s="6">
        <v>14</v>
      </c>
      <c r="L166" s="6" t="s">
        <v>252</v>
      </c>
      <c r="M166" s="8" t="s">
        <v>472</v>
      </c>
      <c r="N166" s="9" t="s">
        <v>61</v>
      </c>
      <c r="O166" s="9" t="s">
        <v>257</v>
      </c>
      <c r="P166" s="10">
        <v>13.81</v>
      </c>
      <c r="Q166" s="10">
        <v>13.1</v>
      </c>
      <c r="R166" s="10">
        <v>44.4</v>
      </c>
      <c r="S166" s="15">
        <f t="shared" si="11"/>
        <v>13.637375</v>
      </c>
      <c r="T166" s="10">
        <f t="shared" si="10"/>
        <v>10714.483117281246</v>
      </c>
      <c r="U166" s="11">
        <f t="shared" si="9"/>
        <v>9557.9688824988825</v>
      </c>
      <c r="V166" s="10">
        <v>70.81</v>
      </c>
      <c r="W166" s="10">
        <v>56.94</v>
      </c>
      <c r="X166" s="7">
        <v>0</v>
      </c>
    </row>
    <row r="167" spans="1:24" x14ac:dyDescent="0.25">
      <c r="A167">
        <v>2025</v>
      </c>
      <c r="B167" s="2" t="s">
        <v>186</v>
      </c>
      <c r="C167" s="6" t="s">
        <v>187</v>
      </c>
      <c r="D167" s="6" t="s">
        <v>188</v>
      </c>
      <c r="E167" s="6" t="s">
        <v>22</v>
      </c>
      <c r="F167" s="7" t="s">
        <v>218</v>
      </c>
      <c r="G167" s="7">
        <v>502</v>
      </c>
      <c r="H167" s="6">
        <v>2</v>
      </c>
      <c r="I167" s="6">
        <v>5</v>
      </c>
      <c r="J167" s="6">
        <v>2</v>
      </c>
      <c r="K167" s="6">
        <v>9</v>
      </c>
      <c r="L167" s="6" t="s">
        <v>252</v>
      </c>
      <c r="M167" s="8" t="s">
        <v>472</v>
      </c>
      <c r="N167" s="8" t="s">
        <v>470</v>
      </c>
      <c r="O167" s="9" t="s">
        <v>257</v>
      </c>
      <c r="P167" s="10">
        <v>13.12</v>
      </c>
      <c r="Q167" s="10">
        <v>12.4</v>
      </c>
      <c r="R167" s="10">
        <v>44.4</v>
      </c>
      <c r="S167" s="15">
        <f t="shared" si="11"/>
        <v>13.060363636363636</v>
      </c>
      <c r="T167" s="10">
        <f t="shared" si="10"/>
        <v>10261.14231568554</v>
      </c>
      <c r="U167" s="11">
        <f t="shared" si="9"/>
        <v>9153.5613877658689</v>
      </c>
      <c r="V167" s="10">
        <v>70.34</v>
      </c>
      <c r="W167" s="10">
        <v>53.64</v>
      </c>
      <c r="X167" s="7">
        <v>0</v>
      </c>
    </row>
    <row r="168" spans="1:24" x14ac:dyDescent="0.25">
      <c r="A168" s="3">
        <v>2025</v>
      </c>
      <c r="B168" s="2" t="s">
        <v>186</v>
      </c>
      <c r="C168" s="6" t="s">
        <v>187</v>
      </c>
      <c r="D168" s="6" t="s">
        <v>188</v>
      </c>
      <c r="E168" s="6" t="s">
        <v>22</v>
      </c>
      <c r="F168" s="7" t="s">
        <v>219</v>
      </c>
      <c r="G168" s="7">
        <v>503</v>
      </c>
      <c r="H168" s="6">
        <v>3</v>
      </c>
      <c r="I168" s="6">
        <v>5</v>
      </c>
      <c r="J168" s="6">
        <v>2</v>
      </c>
      <c r="K168" s="6">
        <v>16</v>
      </c>
      <c r="L168" s="6" t="s">
        <v>252</v>
      </c>
      <c r="M168" s="8" t="s">
        <v>254</v>
      </c>
      <c r="N168" s="9" t="s">
        <v>58</v>
      </c>
      <c r="O168" s="9" t="s">
        <v>258</v>
      </c>
      <c r="P168" s="10">
        <v>14.56</v>
      </c>
      <c r="Q168" s="10">
        <v>12.1</v>
      </c>
      <c r="R168" s="10">
        <v>43.4</v>
      </c>
      <c r="S168" s="15">
        <f t="shared" si="11"/>
        <v>14.543454545454546</v>
      </c>
      <c r="T168" s="10">
        <f t="shared" si="10"/>
        <v>11426.363078981103</v>
      </c>
      <c r="U168" s="11">
        <f t="shared" si="9"/>
        <v>10193.008991062536</v>
      </c>
      <c r="V168" s="10">
        <v>70.88</v>
      </c>
      <c r="W168" s="10">
        <v>55.75</v>
      </c>
      <c r="X168" s="7">
        <v>0</v>
      </c>
    </row>
    <row r="169" spans="1:24" x14ac:dyDescent="0.25">
      <c r="A169">
        <v>2025</v>
      </c>
      <c r="B169" s="2" t="s">
        <v>186</v>
      </c>
      <c r="C169" s="6" t="s">
        <v>187</v>
      </c>
      <c r="D169" s="6" t="s">
        <v>188</v>
      </c>
      <c r="E169" s="6" t="s">
        <v>22</v>
      </c>
      <c r="F169" s="7" t="s">
        <v>220</v>
      </c>
      <c r="G169" s="7">
        <v>504</v>
      </c>
      <c r="H169" s="6">
        <v>4</v>
      </c>
      <c r="I169" s="6">
        <v>5</v>
      </c>
      <c r="J169" s="6">
        <v>2</v>
      </c>
      <c r="K169" s="6">
        <v>7</v>
      </c>
      <c r="L169" s="6" t="s">
        <v>252</v>
      </c>
      <c r="M169" s="8" t="s">
        <v>31</v>
      </c>
      <c r="N169" s="9" t="s">
        <v>59</v>
      </c>
      <c r="O169" s="9" t="s">
        <v>259</v>
      </c>
      <c r="P169" s="10">
        <v>13.59</v>
      </c>
      <c r="Q169" s="10">
        <v>13</v>
      </c>
      <c r="R169" s="10">
        <v>44.2</v>
      </c>
      <c r="S169" s="15">
        <f t="shared" si="11"/>
        <v>13.435568181818182</v>
      </c>
      <c r="T169" s="10">
        <f t="shared" si="10"/>
        <v>10555.929455278014</v>
      </c>
      <c r="U169" s="11">
        <f t="shared" si="9"/>
        <v>9416.529398107059</v>
      </c>
      <c r="V169" s="10">
        <v>70.83</v>
      </c>
      <c r="W169" s="10">
        <v>56.19</v>
      </c>
      <c r="X169" s="7">
        <v>0</v>
      </c>
    </row>
    <row r="170" spans="1:24" x14ac:dyDescent="0.25">
      <c r="A170" s="3">
        <v>2025</v>
      </c>
      <c r="B170" s="2" t="s">
        <v>186</v>
      </c>
      <c r="C170" s="6" t="s">
        <v>187</v>
      </c>
      <c r="D170" s="6" t="s">
        <v>188</v>
      </c>
      <c r="E170" s="6" t="s">
        <v>22</v>
      </c>
      <c r="F170" s="7" t="s">
        <v>221</v>
      </c>
      <c r="G170" s="7">
        <v>505</v>
      </c>
      <c r="H170" s="6">
        <v>5</v>
      </c>
      <c r="I170" s="6">
        <v>5</v>
      </c>
      <c r="J170" s="6">
        <v>2</v>
      </c>
      <c r="K170" s="6">
        <v>8</v>
      </c>
      <c r="L170" s="6" t="s">
        <v>252</v>
      </c>
      <c r="M170" s="8" t="s">
        <v>31</v>
      </c>
      <c r="N170" s="9" t="s">
        <v>61</v>
      </c>
      <c r="O170" s="9" t="s">
        <v>259</v>
      </c>
      <c r="P170" s="10">
        <v>13.5</v>
      </c>
      <c r="Q170" s="10">
        <v>12</v>
      </c>
      <c r="R170" s="10">
        <v>42.6</v>
      </c>
      <c r="S170" s="15">
        <f t="shared" si="11"/>
        <v>13.5</v>
      </c>
      <c r="T170" s="10">
        <f t="shared" si="10"/>
        <v>10606.551633528949</v>
      </c>
      <c r="U170" s="11">
        <f t="shared" si="9"/>
        <v>9461.6874518545483</v>
      </c>
      <c r="V170" s="10">
        <v>71.010000000000005</v>
      </c>
      <c r="W170" s="10">
        <v>54.84</v>
      </c>
      <c r="X170" s="7">
        <v>1</v>
      </c>
    </row>
    <row r="171" spans="1:24" x14ac:dyDescent="0.25">
      <c r="A171">
        <v>2025</v>
      </c>
      <c r="B171" s="2" t="s">
        <v>186</v>
      </c>
      <c r="C171" s="6" t="s">
        <v>187</v>
      </c>
      <c r="D171" s="6" t="s">
        <v>188</v>
      </c>
      <c r="E171" s="6" t="s">
        <v>22</v>
      </c>
      <c r="F171" s="7" t="s">
        <v>222</v>
      </c>
      <c r="G171" s="7">
        <v>506</v>
      </c>
      <c r="H171" s="6">
        <v>6</v>
      </c>
      <c r="I171" s="6">
        <v>5</v>
      </c>
      <c r="J171" s="6">
        <v>2</v>
      </c>
      <c r="K171" s="6">
        <v>6</v>
      </c>
      <c r="L171" s="6" t="s">
        <v>252</v>
      </c>
      <c r="M171" s="8" t="s">
        <v>31</v>
      </c>
      <c r="N171" s="9" t="s">
        <v>62</v>
      </c>
      <c r="O171" s="9" t="s">
        <v>259</v>
      </c>
      <c r="P171" s="10">
        <v>14.13</v>
      </c>
      <c r="Q171" s="10">
        <v>12.2</v>
      </c>
      <c r="R171" s="10">
        <v>43.4</v>
      </c>
      <c r="S171" s="15">
        <f t="shared" si="11"/>
        <v>14.097886363636364</v>
      </c>
      <c r="T171" s="10">
        <f t="shared" si="10"/>
        <v>11076.293306632057</v>
      </c>
      <c r="U171" s="11">
        <f t="shared" si="9"/>
        <v>9880.7255188510771</v>
      </c>
      <c r="V171" s="10">
        <v>71.849999999999994</v>
      </c>
      <c r="W171" s="10">
        <v>57.31</v>
      </c>
      <c r="X171" s="7">
        <v>0</v>
      </c>
    </row>
    <row r="172" spans="1:24" x14ac:dyDescent="0.25">
      <c r="A172" s="3">
        <v>2025</v>
      </c>
      <c r="B172" s="2" t="s">
        <v>186</v>
      </c>
      <c r="C172" s="6" t="s">
        <v>187</v>
      </c>
      <c r="D172" s="6" t="s">
        <v>188</v>
      </c>
      <c r="E172" s="6" t="s">
        <v>22</v>
      </c>
      <c r="F172" s="7" t="s">
        <v>223</v>
      </c>
      <c r="G172" s="7">
        <v>507</v>
      </c>
      <c r="H172" s="6">
        <v>7</v>
      </c>
      <c r="I172" s="6">
        <v>5</v>
      </c>
      <c r="J172" s="6">
        <v>2</v>
      </c>
      <c r="K172" s="6">
        <v>19</v>
      </c>
      <c r="L172" s="6" t="s">
        <v>252</v>
      </c>
      <c r="M172" s="8" t="s">
        <v>254</v>
      </c>
      <c r="N172" s="9" t="s">
        <v>59</v>
      </c>
      <c r="O172" s="9" t="s">
        <v>258</v>
      </c>
      <c r="P172" s="10">
        <v>14.43</v>
      </c>
      <c r="Q172" s="10">
        <v>12.6</v>
      </c>
      <c r="R172" s="10">
        <v>44.2</v>
      </c>
      <c r="S172" s="15">
        <f t="shared" si="11"/>
        <v>14.331613636363636</v>
      </c>
      <c r="T172" s="10">
        <f t="shared" si="10"/>
        <v>11259.925927842849</v>
      </c>
      <c r="U172" s="11">
        <f t="shared" si="9"/>
        <v>10044.536956148839</v>
      </c>
      <c r="V172" s="10">
        <v>72.11</v>
      </c>
      <c r="W172" s="10">
        <v>60.44</v>
      </c>
      <c r="X172" s="7">
        <v>0</v>
      </c>
    </row>
    <row r="173" spans="1:24" x14ac:dyDescent="0.25">
      <c r="A173">
        <v>2025</v>
      </c>
      <c r="B173" s="2" t="s">
        <v>186</v>
      </c>
      <c r="C173" s="6" t="s">
        <v>187</v>
      </c>
      <c r="D173" s="6" t="s">
        <v>188</v>
      </c>
      <c r="E173" s="6" t="s">
        <v>22</v>
      </c>
      <c r="F173" s="7" t="s">
        <v>224</v>
      </c>
      <c r="G173" s="7">
        <v>601</v>
      </c>
      <c r="H173" s="6">
        <v>1</v>
      </c>
      <c r="I173" s="6">
        <v>6</v>
      </c>
      <c r="J173" s="6">
        <v>2</v>
      </c>
      <c r="K173" s="6">
        <v>15</v>
      </c>
      <c r="L173" s="6" t="s">
        <v>252</v>
      </c>
      <c r="M173" s="8" t="s">
        <v>254</v>
      </c>
      <c r="N173" s="8" t="s">
        <v>470</v>
      </c>
      <c r="O173" s="9" t="s">
        <v>258</v>
      </c>
      <c r="P173" s="10">
        <v>14.05</v>
      </c>
      <c r="Q173" s="10">
        <v>12.8</v>
      </c>
      <c r="R173" s="10">
        <v>44.7</v>
      </c>
      <c r="S173" s="15">
        <f t="shared" si="11"/>
        <v>13.922272727272727</v>
      </c>
      <c r="T173" s="10">
        <f t="shared" si="10"/>
        <v>10938.318854658522</v>
      </c>
      <c r="U173" s="11">
        <f t="shared" si="9"/>
        <v>9757.6439381431956</v>
      </c>
      <c r="V173" s="10">
        <v>72.13</v>
      </c>
      <c r="W173" s="10">
        <v>58.18</v>
      </c>
      <c r="X173" s="7">
        <v>0</v>
      </c>
    </row>
    <row r="174" spans="1:24" x14ac:dyDescent="0.25">
      <c r="A174" s="3">
        <v>2025</v>
      </c>
      <c r="B174" s="2" t="s">
        <v>186</v>
      </c>
      <c r="C174" s="6" t="s">
        <v>187</v>
      </c>
      <c r="D174" s="6" t="s">
        <v>188</v>
      </c>
      <c r="E174" s="6" t="s">
        <v>22</v>
      </c>
      <c r="F174" s="7" t="s">
        <v>225</v>
      </c>
      <c r="G174" s="7">
        <v>602</v>
      </c>
      <c r="H174" s="6">
        <v>2</v>
      </c>
      <c r="I174" s="6">
        <v>6</v>
      </c>
      <c r="J174" s="6">
        <v>2</v>
      </c>
      <c r="K174" s="6">
        <v>10</v>
      </c>
      <c r="L174" s="6" t="s">
        <v>252</v>
      </c>
      <c r="M174" s="8" t="s">
        <v>472</v>
      </c>
      <c r="N174" s="9" t="s">
        <v>58</v>
      </c>
      <c r="O174" s="9" t="s">
        <v>257</v>
      </c>
      <c r="P174" s="10">
        <v>13.68</v>
      </c>
      <c r="Q174" s="10">
        <v>12.3</v>
      </c>
      <c r="R174" s="10">
        <v>44.1</v>
      </c>
      <c r="S174" s="15">
        <f t="shared" si="11"/>
        <v>13.633363636363637</v>
      </c>
      <c r="T174" s="10">
        <f t="shared" si="10"/>
        <v>10711.331507241992</v>
      </c>
      <c r="U174" s="11">
        <f t="shared" si="9"/>
        <v>9555.1574551668073</v>
      </c>
      <c r="V174" s="10">
        <v>71.540000000000006</v>
      </c>
      <c r="W174" s="10">
        <v>55.87</v>
      </c>
      <c r="X174" s="7">
        <v>0</v>
      </c>
    </row>
    <row r="175" spans="1:24" x14ac:dyDescent="0.25">
      <c r="A175">
        <v>2025</v>
      </c>
      <c r="B175" s="2" t="s">
        <v>186</v>
      </c>
      <c r="C175" s="6" t="s">
        <v>187</v>
      </c>
      <c r="D175" s="6" t="s">
        <v>188</v>
      </c>
      <c r="E175" s="6" t="s">
        <v>22</v>
      </c>
      <c r="F175" s="7" t="s">
        <v>226</v>
      </c>
      <c r="G175" s="7">
        <v>603</v>
      </c>
      <c r="H175" s="6">
        <v>3</v>
      </c>
      <c r="I175" s="6">
        <v>6</v>
      </c>
      <c r="J175" s="6">
        <v>2</v>
      </c>
      <c r="K175" s="6">
        <v>4</v>
      </c>
      <c r="L175" s="6" t="s">
        <v>252</v>
      </c>
      <c r="M175" s="8" t="s">
        <v>31</v>
      </c>
      <c r="N175" s="9" t="s">
        <v>58</v>
      </c>
      <c r="O175" s="9" t="s">
        <v>259</v>
      </c>
      <c r="P175" s="10">
        <v>13.33</v>
      </c>
      <c r="Q175" s="10">
        <v>11.9</v>
      </c>
      <c r="R175" s="10">
        <v>43</v>
      </c>
      <c r="S175" s="15">
        <f t="shared" si="11"/>
        <v>13.345147727272726</v>
      </c>
      <c r="T175" s="10">
        <f t="shared" si="10"/>
        <v>10484.888772325159</v>
      </c>
      <c r="U175" s="11">
        <f t="shared" si="9"/>
        <v>9353.1567995764126</v>
      </c>
      <c r="V175" s="10">
        <v>71.78</v>
      </c>
      <c r="W175" s="10">
        <v>55.94</v>
      </c>
      <c r="X175" s="7">
        <v>0</v>
      </c>
    </row>
    <row r="176" spans="1:24" x14ac:dyDescent="0.25">
      <c r="A176" s="3">
        <v>2025</v>
      </c>
      <c r="B176" s="2" t="s">
        <v>186</v>
      </c>
      <c r="C176" s="6" t="s">
        <v>187</v>
      </c>
      <c r="D176" s="6" t="s">
        <v>188</v>
      </c>
      <c r="E176" s="6" t="s">
        <v>22</v>
      </c>
      <c r="F176" s="7" t="s">
        <v>227</v>
      </c>
      <c r="G176" s="7">
        <v>604</v>
      </c>
      <c r="H176" s="6">
        <v>4</v>
      </c>
      <c r="I176" s="6">
        <v>6</v>
      </c>
      <c r="J176" s="6">
        <v>2</v>
      </c>
      <c r="K176" s="6">
        <v>21</v>
      </c>
      <c r="L176" s="6" t="s">
        <v>252</v>
      </c>
      <c r="M176" s="8" t="s">
        <v>471</v>
      </c>
      <c r="N176" s="8" t="s">
        <v>471</v>
      </c>
      <c r="O176" s="8" t="s">
        <v>471</v>
      </c>
      <c r="P176" s="10">
        <v>13.07</v>
      </c>
      <c r="Q176" s="10">
        <v>13.4</v>
      </c>
      <c r="R176" s="10">
        <v>43.8</v>
      </c>
      <c r="S176" s="15">
        <f t="shared" si="11"/>
        <v>12.862068181818183</v>
      </c>
      <c r="T176" s="10">
        <f t="shared" si="10"/>
        <v>10105.347428475878</v>
      </c>
      <c r="U176" s="11">
        <f t="shared" si="9"/>
        <v>9014.5828978375357</v>
      </c>
      <c r="V176" s="10">
        <v>71.39</v>
      </c>
      <c r="W176" s="10">
        <v>56.7</v>
      </c>
      <c r="X176" s="7">
        <v>1</v>
      </c>
    </row>
    <row r="177" spans="1:24" x14ac:dyDescent="0.25">
      <c r="A177">
        <v>2025</v>
      </c>
      <c r="B177" s="2" t="s">
        <v>186</v>
      </c>
      <c r="C177" s="6" t="s">
        <v>187</v>
      </c>
      <c r="D177" s="6" t="s">
        <v>188</v>
      </c>
      <c r="E177" s="6" t="s">
        <v>22</v>
      </c>
      <c r="F177" s="7" t="s">
        <v>228</v>
      </c>
      <c r="G177" s="7">
        <v>605</v>
      </c>
      <c r="H177" s="6">
        <v>5</v>
      </c>
      <c r="I177" s="6">
        <v>6</v>
      </c>
      <c r="J177" s="6">
        <v>2</v>
      </c>
      <c r="K177" s="6">
        <v>20</v>
      </c>
      <c r="L177" s="6" t="s">
        <v>252</v>
      </c>
      <c r="M177" s="8" t="s">
        <v>254</v>
      </c>
      <c r="N177" s="9" t="s">
        <v>61</v>
      </c>
      <c r="O177" s="9" t="s">
        <v>258</v>
      </c>
      <c r="P177" s="10">
        <v>13.38</v>
      </c>
      <c r="Q177" s="10">
        <v>11.6</v>
      </c>
      <c r="R177" s="10">
        <v>43.2</v>
      </c>
      <c r="S177" s="15">
        <f t="shared" si="11"/>
        <v>13.440818181818182</v>
      </c>
      <c r="T177" s="10">
        <f t="shared" si="10"/>
        <v>10560.05422535772</v>
      </c>
      <c r="U177" s="11">
        <f t="shared" si="9"/>
        <v>9420.208943227226</v>
      </c>
      <c r="V177" s="10">
        <v>71.36</v>
      </c>
      <c r="W177" s="10">
        <v>56.51</v>
      </c>
      <c r="X177" s="7">
        <v>0</v>
      </c>
    </row>
    <row r="178" spans="1:24" x14ac:dyDescent="0.25">
      <c r="A178" s="3">
        <v>2025</v>
      </c>
      <c r="B178" s="2" t="s">
        <v>186</v>
      </c>
      <c r="C178" s="6" t="s">
        <v>187</v>
      </c>
      <c r="D178" s="6" t="s">
        <v>188</v>
      </c>
      <c r="E178" s="6" t="s">
        <v>22</v>
      </c>
      <c r="F178" s="7" t="s">
        <v>229</v>
      </c>
      <c r="G178" s="7">
        <v>606</v>
      </c>
      <c r="H178" s="6">
        <v>6</v>
      </c>
      <c r="I178" s="6">
        <v>6</v>
      </c>
      <c r="J178" s="6">
        <v>2</v>
      </c>
      <c r="K178" s="6">
        <v>12</v>
      </c>
      <c r="L178" s="6" t="s">
        <v>252</v>
      </c>
      <c r="M178" s="8" t="s">
        <v>472</v>
      </c>
      <c r="N178" s="9" t="s">
        <v>62</v>
      </c>
      <c r="O178" s="9" t="s">
        <v>257</v>
      </c>
      <c r="P178" s="10">
        <v>12.79</v>
      </c>
      <c r="Q178" s="10">
        <v>12.1</v>
      </c>
      <c r="R178" s="10">
        <v>43.4</v>
      </c>
      <c r="S178" s="15">
        <f t="shared" si="11"/>
        <v>12.775465909090908</v>
      </c>
      <c r="T178" s="10">
        <f t="shared" si="10"/>
        <v>10037.306578308264</v>
      </c>
      <c r="U178" s="11">
        <f t="shared" si="9"/>
        <v>8953.8863321215558</v>
      </c>
      <c r="V178" s="10">
        <v>70.8</v>
      </c>
      <c r="W178" s="10">
        <v>52.71</v>
      </c>
      <c r="X178" s="7">
        <v>0</v>
      </c>
    </row>
    <row r="179" spans="1:24" x14ac:dyDescent="0.25">
      <c r="A179">
        <v>2025</v>
      </c>
      <c r="B179" s="2" t="s">
        <v>186</v>
      </c>
      <c r="C179" s="6" t="s">
        <v>187</v>
      </c>
      <c r="D179" s="6" t="s">
        <v>188</v>
      </c>
      <c r="E179" s="6" t="s">
        <v>22</v>
      </c>
      <c r="F179" s="7" t="s">
        <v>230</v>
      </c>
      <c r="G179" s="7">
        <v>607</v>
      </c>
      <c r="H179" s="6">
        <v>7</v>
      </c>
      <c r="I179" s="6">
        <v>6</v>
      </c>
      <c r="J179" s="6">
        <v>2</v>
      </c>
      <c r="K179" s="6">
        <v>2</v>
      </c>
      <c r="L179" s="6" t="s">
        <v>252</v>
      </c>
      <c r="M179" s="8" t="s">
        <v>471</v>
      </c>
      <c r="N179" s="8" t="s">
        <v>471</v>
      </c>
      <c r="O179" s="8" t="s">
        <v>471</v>
      </c>
      <c r="P179" s="10">
        <v>12.65</v>
      </c>
      <c r="Q179" s="10">
        <v>11.8</v>
      </c>
      <c r="R179" s="10">
        <v>43.2</v>
      </c>
      <c r="S179" s="15">
        <f t="shared" si="11"/>
        <v>12.678750000000001</v>
      </c>
      <c r="T179" s="10">
        <f t="shared" si="10"/>
        <v>9961.3197424892696</v>
      </c>
      <c r="U179" s="11">
        <f t="shared" si="9"/>
        <v>8886.1014652000613</v>
      </c>
      <c r="V179" s="10">
        <v>71.47</v>
      </c>
      <c r="W179" s="10">
        <v>54.79</v>
      </c>
      <c r="X179" s="7">
        <v>1</v>
      </c>
    </row>
    <row r="180" spans="1:24" x14ac:dyDescent="0.25">
      <c r="A180" s="3">
        <v>2025</v>
      </c>
      <c r="B180" s="2" t="s">
        <v>186</v>
      </c>
      <c r="C180" s="6" t="s">
        <v>187</v>
      </c>
      <c r="D180" s="6" t="s">
        <v>188</v>
      </c>
      <c r="E180" s="6" t="s">
        <v>22</v>
      </c>
      <c r="F180" s="7" t="s">
        <v>231</v>
      </c>
      <c r="G180" s="7">
        <v>701</v>
      </c>
      <c r="H180" s="6">
        <v>1</v>
      </c>
      <c r="I180" s="6">
        <v>7</v>
      </c>
      <c r="J180" s="6">
        <v>3</v>
      </c>
      <c r="K180" s="6">
        <v>5</v>
      </c>
      <c r="L180" s="6" t="s">
        <v>252</v>
      </c>
      <c r="M180" s="8" t="s">
        <v>31</v>
      </c>
      <c r="N180" s="9" t="s">
        <v>60</v>
      </c>
      <c r="O180" s="9" t="s">
        <v>259</v>
      </c>
      <c r="P180" s="10">
        <v>13.91</v>
      </c>
      <c r="Q180" s="10">
        <v>12.6</v>
      </c>
      <c r="R180" s="10">
        <v>44.2</v>
      </c>
      <c r="S180" s="15">
        <f t="shared" si="11"/>
        <v>13.81515909090909</v>
      </c>
      <c r="T180" s="10">
        <f t="shared" si="10"/>
        <v>10854.162831344005</v>
      </c>
      <c r="U180" s="11">
        <f t="shared" si="9"/>
        <v>9682.5716604317622</v>
      </c>
      <c r="V180" s="10">
        <v>72.069999999999993</v>
      </c>
      <c r="W180" s="10">
        <v>57.64</v>
      </c>
      <c r="X180" s="7">
        <v>0</v>
      </c>
    </row>
    <row r="181" spans="1:24" x14ac:dyDescent="0.25">
      <c r="A181">
        <v>2025</v>
      </c>
      <c r="B181" s="2" t="s">
        <v>186</v>
      </c>
      <c r="C181" s="6" t="s">
        <v>187</v>
      </c>
      <c r="D181" s="6" t="s">
        <v>188</v>
      </c>
      <c r="E181" s="6" t="s">
        <v>22</v>
      </c>
      <c r="F181" s="7" t="s">
        <v>232</v>
      </c>
      <c r="G181" s="7">
        <v>702</v>
      </c>
      <c r="H181" s="6">
        <v>2</v>
      </c>
      <c r="I181" s="6">
        <v>7</v>
      </c>
      <c r="J181" s="6">
        <v>3</v>
      </c>
      <c r="K181" s="6">
        <v>1</v>
      </c>
      <c r="L181" s="6" t="s">
        <v>252</v>
      </c>
      <c r="M181" s="8" t="s">
        <v>471</v>
      </c>
      <c r="N181" s="8" t="s">
        <v>471</v>
      </c>
      <c r="O181" s="8" t="s">
        <v>471</v>
      </c>
      <c r="P181" s="10">
        <v>13.68</v>
      </c>
      <c r="Q181" s="10">
        <v>12.6</v>
      </c>
      <c r="R181" s="10">
        <v>43.5</v>
      </c>
      <c r="S181" s="15">
        <f t="shared" si="11"/>
        <v>13.586727272727272</v>
      </c>
      <c r="T181" s="10">
        <f t="shared" si="10"/>
        <v>10674.69069250798</v>
      </c>
      <c r="U181" s="11">
        <f t="shared" si="9"/>
        <v>9522.4716257876717</v>
      </c>
      <c r="V181" s="10">
        <v>71.47</v>
      </c>
      <c r="W181" s="10">
        <v>56.2</v>
      </c>
      <c r="X181" s="7">
        <v>1</v>
      </c>
    </row>
    <row r="182" spans="1:24" x14ac:dyDescent="0.25">
      <c r="A182" s="3">
        <v>2025</v>
      </c>
      <c r="B182" s="2" t="s">
        <v>186</v>
      </c>
      <c r="C182" s="6" t="s">
        <v>187</v>
      </c>
      <c r="D182" s="6" t="s">
        <v>188</v>
      </c>
      <c r="E182" s="6" t="s">
        <v>22</v>
      </c>
      <c r="F182" s="7" t="s">
        <v>233</v>
      </c>
      <c r="G182" s="7">
        <v>703</v>
      </c>
      <c r="H182" s="6">
        <v>3</v>
      </c>
      <c r="I182" s="6">
        <v>7</v>
      </c>
      <c r="J182" s="6">
        <v>3</v>
      </c>
      <c r="K182" s="6">
        <v>9</v>
      </c>
      <c r="L182" s="6" t="s">
        <v>252</v>
      </c>
      <c r="M182" s="8" t="s">
        <v>472</v>
      </c>
      <c r="N182" s="8" t="s">
        <v>470</v>
      </c>
      <c r="O182" s="9" t="s">
        <v>257</v>
      </c>
      <c r="P182" s="10">
        <v>12.57</v>
      </c>
      <c r="Q182" s="10">
        <v>12.6</v>
      </c>
      <c r="R182" s="10">
        <v>44.4</v>
      </c>
      <c r="S182" s="15">
        <f t="shared" si="11"/>
        <v>12.484295454545455</v>
      </c>
      <c r="T182" s="10">
        <f t="shared" si="10"/>
        <v>9808.5425442123778</v>
      </c>
      <c r="U182" s="11">
        <f t="shared" si="9"/>
        <v>8749.8149368531467</v>
      </c>
      <c r="V182" s="10">
        <v>71.69</v>
      </c>
      <c r="W182" s="10">
        <v>57.52</v>
      </c>
      <c r="X182" s="7">
        <v>0</v>
      </c>
    </row>
    <row r="183" spans="1:24" x14ac:dyDescent="0.25">
      <c r="A183">
        <v>2025</v>
      </c>
      <c r="B183" s="2" t="s">
        <v>186</v>
      </c>
      <c r="C183" s="6" t="s">
        <v>187</v>
      </c>
      <c r="D183" s="6" t="s">
        <v>188</v>
      </c>
      <c r="E183" s="6" t="s">
        <v>22</v>
      </c>
      <c r="F183" s="7" t="s">
        <v>234</v>
      </c>
      <c r="G183" s="7">
        <v>704</v>
      </c>
      <c r="H183" s="6">
        <v>4</v>
      </c>
      <c r="I183" s="6">
        <v>7</v>
      </c>
      <c r="J183" s="6">
        <v>3</v>
      </c>
      <c r="K183" s="6">
        <v>3</v>
      </c>
      <c r="L183" s="6" t="s">
        <v>252</v>
      </c>
      <c r="M183" s="8" t="s">
        <v>31</v>
      </c>
      <c r="N183" s="8" t="s">
        <v>470</v>
      </c>
      <c r="O183" s="9" t="s">
        <v>259</v>
      </c>
      <c r="P183" s="10">
        <v>13.46</v>
      </c>
      <c r="Q183" s="10">
        <v>13.7</v>
      </c>
      <c r="R183" s="10">
        <v>43.7</v>
      </c>
      <c r="S183" s="15">
        <f t="shared" si="11"/>
        <v>13.199977272727272</v>
      </c>
      <c r="T183" s="10">
        <f t="shared" si="10"/>
        <v>10370.832629969662</v>
      </c>
      <c r="U183" s="11">
        <f t="shared" si="9"/>
        <v>9251.4118019354701</v>
      </c>
      <c r="V183" s="10">
        <v>71.39</v>
      </c>
      <c r="W183" s="10">
        <v>57.78</v>
      </c>
      <c r="X183" s="7">
        <v>0</v>
      </c>
    </row>
    <row r="184" spans="1:24" x14ac:dyDescent="0.25">
      <c r="A184" s="3">
        <v>2025</v>
      </c>
      <c r="B184" s="2" t="s">
        <v>186</v>
      </c>
      <c r="C184" s="6" t="s">
        <v>187</v>
      </c>
      <c r="D184" s="6" t="s">
        <v>188</v>
      </c>
      <c r="E184" s="6" t="s">
        <v>22</v>
      </c>
      <c r="F184" s="7" t="s">
        <v>235</v>
      </c>
      <c r="G184" s="7">
        <v>705</v>
      </c>
      <c r="H184" s="6">
        <v>5</v>
      </c>
      <c r="I184" s="6">
        <v>7</v>
      </c>
      <c r="J184" s="6">
        <v>3</v>
      </c>
      <c r="K184" s="6">
        <v>8</v>
      </c>
      <c r="L184" s="6" t="s">
        <v>252</v>
      </c>
      <c r="M184" s="8" t="s">
        <v>31</v>
      </c>
      <c r="N184" s="9" t="s">
        <v>61</v>
      </c>
      <c r="O184" s="9" t="s">
        <v>259</v>
      </c>
      <c r="P184" s="10">
        <v>13.69</v>
      </c>
      <c r="Q184" s="10">
        <v>12.5</v>
      </c>
      <c r="R184" s="10">
        <v>42.7</v>
      </c>
      <c r="S184" s="15">
        <f t="shared" si="11"/>
        <v>13.612215909090908</v>
      </c>
      <c r="T184" s="10">
        <f t="shared" si="10"/>
        <v>10694.716361964214</v>
      </c>
      <c r="U184" s="11">
        <f t="shared" si="9"/>
        <v>9540.3357377022421</v>
      </c>
      <c r="V184" s="10">
        <v>72.05</v>
      </c>
      <c r="W184" s="10">
        <v>59.34</v>
      </c>
      <c r="X184" s="7">
        <v>0</v>
      </c>
    </row>
    <row r="185" spans="1:24" x14ac:dyDescent="0.25">
      <c r="A185">
        <v>2025</v>
      </c>
      <c r="B185" s="2" t="s">
        <v>186</v>
      </c>
      <c r="C185" s="6" t="s">
        <v>187</v>
      </c>
      <c r="D185" s="6" t="s">
        <v>188</v>
      </c>
      <c r="E185" s="6" t="s">
        <v>22</v>
      </c>
      <c r="F185" s="7" t="s">
        <v>236</v>
      </c>
      <c r="G185" s="7">
        <v>706</v>
      </c>
      <c r="H185" s="6">
        <v>6</v>
      </c>
      <c r="I185" s="6">
        <v>7</v>
      </c>
      <c r="J185" s="6">
        <v>3</v>
      </c>
      <c r="K185" s="6">
        <v>4</v>
      </c>
      <c r="L185" s="6" t="s">
        <v>252</v>
      </c>
      <c r="M185" s="8" t="s">
        <v>31</v>
      </c>
      <c r="N185" s="9" t="s">
        <v>58</v>
      </c>
      <c r="O185" s="9" t="s">
        <v>259</v>
      </c>
      <c r="P185" s="10">
        <v>13.53</v>
      </c>
      <c r="Q185" s="10">
        <v>11.7</v>
      </c>
      <c r="R185" s="10">
        <v>43.8</v>
      </c>
      <c r="S185" s="15">
        <f t="shared" si="11"/>
        <v>13.576124999999999</v>
      </c>
      <c r="T185" s="10">
        <f t="shared" si="10"/>
        <v>10666.36079968468</v>
      </c>
      <c r="U185" s="11">
        <f t="shared" si="9"/>
        <v>9515.0408560969499</v>
      </c>
      <c r="V185" s="10">
        <v>71.02</v>
      </c>
      <c r="W185" s="10">
        <v>55.89</v>
      </c>
      <c r="X185" s="7">
        <v>0</v>
      </c>
    </row>
    <row r="186" spans="1:24" x14ac:dyDescent="0.25">
      <c r="A186" s="3">
        <v>2025</v>
      </c>
      <c r="B186" s="2" t="s">
        <v>186</v>
      </c>
      <c r="C186" s="6" t="s">
        <v>187</v>
      </c>
      <c r="D186" s="6" t="s">
        <v>188</v>
      </c>
      <c r="E186" s="6" t="s">
        <v>22</v>
      </c>
      <c r="F186" s="7" t="s">
        <v>237</v>
      </c>
      <c r="G186" s="7">
        <v>707</v>
      </c>
      <c r="H186" s="6">
        <v>7</v>
      </c>
      <c r="I186" s="6">
        <v>7</v>
      </c>
      <c r="J186" s="6">
        <v>3</v>
      </c>
      <c r="K186" s="6">
        <v>21</v>
      </c>
      <c r="L186" s="6" t="s">
        <v>252</v>
      </c>
      <c r="M186" s="8" t="s">
        <v>471</v>
      </c>
      <c r="N186" s="8" t="s">
        <v>471</v>
      </c>
      <c r="O186" s="8" t="s">
        <v>471</v>
      </c>
      <c r="P186" s="10">
        <v>12.53</v>
      </c>
      <c r="Q186" s="10">
        <v>12.2</v>
      </c>
      <c r="R186" s="10">
        <v>43.7</v>
      </c>
      <c r="S186" s="15">
        <f t="shared" si="11"/>
        <v>12.501522727272727</v>
      </c>
      <c r="T186" s="10">
        <f t="shared" si="10"/>
        <v>9822.0775040410208</v>
      </c>
      <c r="U186" s="11">
        <f t="shared" si="9"/>
        <v>8761.8889420526502</v>
      </c>
      <c r="V186" s="10">
        <v>71.709999999999994</v>
      </c>
      <c r="W186" s="10">
        <v>56.5</v>
      </c>
      <c r="X186" s="7">
        <v>0</v>
      </c>
    </row>
    <row r="187" spans="1:24" x14ac:dyDescent="0.25">
      <c r="A187">
        <v>2025</v>
      </c>
      <c r="B187" s="2" t="s">
        <v>186</v>
      </c>
      <c r="C187" s="6" t="s">
        <v>187</v>
      </c>
      <c r="D187" s="6" t="s">
        <v>188</v>
      </c>
      <c r="E187" s="6" t="s">
        <v>22</v>
      </c>
      <c r="F187" s="6" t="s">
        <v>238</v>
      </c>
      <c r="G187" s="6">
        <v>801</v>
      </c>
      <c r="H187" s="6">
        <v>1</v>
      </c>
      <c r="I187" s="6">
        <v>8</v>
      </c>
      <c r="J187" s="6">
        <v>3</v>
      </c>
      <c r="K187" s="6">
        <v>6</v>
      </c>
      <c r="L187" s="6" t="s">
        <v>252</v>
      </c>
      <c r="M187" s="8" t="s">
        <v>31</v>
      </c>
      <c r="N187" s="9" t="s">
        <v>62</v>
      </c>
      <c r="O187" s="9" t="s">
        <v>259</v>
      </c>
      <c r="P187" s="10">
        <v>13.44</v>
      </c>
      <c r="Q187" s="10">
        <v>12.4</v>
      </c>
      <c r="R187" s="10">
        <v>44</v>
      </c>
      <c r="S187" s="15">
        <f t="shared" si="11"/>
        <v>13.37890909090909</v>
      </c>
      <c r="T187" s="10">
        <f t="shared" si="10"/>
        <v>10511.414079482747</v>
      </c>
      <c r="U187" s="11">
        <f t="shared" si="9"/>
        <v>9376.818982589426</v>
      </c>
      <c r="V187" s="10">
        <v>71.45</v>
      </c>
      <c r="W187" s="10">
        <v>55.26</v>
      </c>
      <c r="X187" s="7">
        <v>0</v>
      </c>
    </row>
    <row r="188" spans="1:24" x14ac:dyDescent="0.25">
      <c r="A188" s="3">
        <v>2025</v>
      </c>
      <c r="B188" s="2" t="s">
        <v>186</v>
      </c>
      <c r="C188" s="6" t="s">
        <v>187</v>
      </c>
      <c r="D188" s="6" t="s">
        <v>188</v>
      </c>
      <c r="E188" s="6" t="s">
        <v>22</v>
      </c>
      <c r="F188" s="6" t="s">
        <v>239</v>
      </c>
      <c r="G188" s="6">
        <v>802</v>
      </c>
      <c r="H188" s="6">
        <v>2</v>
      </c>
      <c r="I188" s="6">
        <v>8</v>
      </c>
      <c r="J188" s="6">
        <v>3</v>
      </c>
      <c r="K188" s="6">
        <v>11</v>
      </c>
      <c r="L188" s="6" t="s">
        <v>252</v>
      </c>
      <c r="M188" s="8" t="s">
        <v>472</v>
      </c>
      <c r="N188" s="9" t="s">
        <v>60</v>
      </c>
      <c r="O188" s="9" t="s">
        <v>257</v>
      </c>
      <c r="P188" s="10">
        <v>12.45</v>
      </c>
      <c r="Q188" s="10">
        <v>12.7</v>
      </c>
      <c r="R188" s="10">
        <v>43.9</v>
      </c>
      <c r="S188" s="15">
        <f t="shared" si="11"/>
        <v>12.35096590909091</v>
      </c>
      <c r="T188" s="10">
        <f t="shared" si="10"/>
        <v>9703.7894547206306</v>
      </c>
      <c r="U188" s="11">
        <f t="shared" si="9"/>
        <v>8656.3688266910176</v>
      </c>
      <c r="V188" s="10">
        <v>70.930000000000007</v>
      </c>
      <c r="W188" s="10">
        <v>53.61</v>
      </c>
      <c r="X188" s="7">
        <v>1</v>
      </c>
    </row>
    <row r="189" spans="1:24" x14ac:dyDescent="0.25">
      <c r="A189">
        <v>2025</v>
      </c>
      <c r="B189" s="2" t="s">
        <v>186</v>
      </c>
      <c r="C189" s="6" t="s">
        <v>187</v>
      </c>
      <c r="D189" s="6" t="s">
        <v>188</v>
      </c>
      <c r="E189" s="6" t="s">
        <v>22</v>
      </c>
      <c r="F189" s="6" t="s">
        <v>240</v>
      </c>
      <c r="G189" s="6">
        <v>803</v>
      </c>
      <c r="H189" s="6">
        <v>3</v>
      </c>
      <c r="I189" s="6">
        <v>8</v>
      </c>
      <c r="J189" s="6">
        <v>3</v>
      </c>
      <c r="K189" s="6">
        <v>14</v>
      </c>
      <c r="L189" s="6" t="s">
        <v>252</v>
      </c>
      <c r="M189" s="8" t="s">
        <v>472</v>
      </c>
      <c r="N189" s="9" t="s">
        <v>61</v>
      </c>
      <c r="O189" s="9" t="s">
        <v>257</v>
      </c>
      <c r="P189" s="10">
        <v>13.4</v>
      </c>
      <c r="Q189" s="10">
        <v>13</v>
      </c>
      <c r="R189" s="10">
        <v>43.8</v>
      </c>
      <c r="S189" s="15">
        <f t="shared" si="11"/>
        <v>13.247727272727271</v>
      </c>
      <c r="T189" s="10">
        <f t="shared" si="10"/>
        <v>10408.348395932699</v>
      </c>
      <c r="U189" s="11">
        <f t="shared" si="9"/>
        <v>9284.8781408855466</v>
      </c>
      <c r="V189" s="10">
        <v>71.53</v>
      </c>
      <c r="W189" s="10">
        <v>58.49</v>
      </c>
      <c r="X189" s="7">
        <v>0</v>
      </c>
    </row>
    <row r="190" spans="1:24" x14ac:dyDescent="0.25">
      <c r="A190" s="3">
        <v>2025</v>
      </c>
      <c r="B190" s="2" t="s">
        <v>186</v>
      </c>
      <c r="C190" s="6" t="s">
        <v>187</v>
      </c>
      <c r="D190" s="6" t="s">
        <v>188</v>
      </c>
      <c r="E190" s="6" t="s">
        <v>22</v>
      </c>
      <c r="F190" s="6" t="s">
        <v>241</v>
      </c>
      <c r="G190" s="6">
        <v>804</v>
      </c>
      <c r="H190" s="6">
        <v>4</v>
      </c>
      <c r="I190" s="6">
        <v>8</v>
      </c>
      <c r="J190" s="6">
        <v>3</v>
      </c>
      <c r="K190" s="6">
        <v>13</v>
      </c>
      <c r="L190" s="6" t="s">
        <v>252</v>
      </c>
      <c r="M190" s="8" t="s">
        <v>472</v>
      </c>
      <c r="N190" s="9" t="s">
        <v>59</v>
      </c>
      <c r="O190" s="9" t="s">
        <v>257</v>
      </c>
      <c r="P190" s="10">
        <v>13.3</v>
      </c>
      <c r="Q190" s="10">
        <v>13.4</v>
      </c>
      <c r="R190" s="10">
        <v>43.7</v>
      </c>
      <c r="S190" s="15">
        <f t="shared" si="11"/>
        <v>13.088409090909092</v>
      </c>
      <c r="T190" s="10">
        <f t="shared" si="10"/>
        <v>10283.176801739033</v>
      </c>
      <c r="U190" s="11">
        <f t="shared" si="9"/>
        <v>9173.2174859402621</v>
      </c>
      <c r="V190" s="10">
        <v>71.239999999999995</v>
      </c>
      <c r="W190" s="10">
        <v>58.32</v>
      </c>
      <c r="X190" s="7">
        <v>0</v>
      </c>
    </row>
    <row r="191" spans="1:24" x14ac:dyDescent="0.25">
      <c r="A191">
        <v>2025</v>
      </c>
      <c r="B191" s="2" t="s">
        <v>186</v>
      </c>
      <c r="C191" s="6" t="s">
        <v>187</v>
      </c>
      <c r="D191" s="6" t="s">
        <v>188</v>
      </c>
      <c r="E191" s="6" t="s">
        <v>22</v>
      </c>
      <c r="F191" s="6" t="s">
        <v>242</v>
      </c>
      <c r="G191" s="6">
        <v>805</v>
      </c>
      <c r="H191" s="6">
        <v>5</v>
      </c>
      <c r="I191" s="6">
        <v>8</v>
      </c>
      <c r="J191" s="6">
        <v>3</v>
      </c>
      <c r="K191" s="6">
        <v>17</v>
      </c>
      <c r="L191" s="6" t="s">
        <v>252</v>
      </c>
      <c r="M191" s="8" t="s">
        <v>254</v>
      </c>
      <c r="N191" s="9" t="s">
        <v>60</v>
      </c>
      <c r="O191" s="9" t="s">
        <v>258</v>
      </c>
      <c r="P191" s="10">
        <v>13.86</v>
      </c>
      <c r="Q191" s="10">
        <v>12.5</v>
      </c>
      <c r="R191" s="10">
        <v>43.8</v>
      </c>
      <c r="S191" s="15">
        <f t="shared" si="11"/>
        <v>13.78125</v>
      </c>
      <c r="T191" s="10">
        <f t="shared" si="10"/>
        <v>10827.521459227468</v>
      </c>
      <c r="U191" s="11">
        <f t="shared" si="9"/>
        <v>9658.8059404348514</v>
      </c>
      <c r="V191" s="10">
        <v>71.95</v>
      </c>
      <c r="W191" s="10">
        <v>59.07</v>
      </c>
      <c r="X191" s="7">
        <v>0</v>
      </c>
    </row>
    <row r="192" spans="1:24" x14ac:dyDescent="0.25">
      <c r="A192" s="3">
        <v>2025</v>
      </c>
      <c r="B192" s="2" t="s">
        <v>186</v>
      </c>
      <c r="C192" s="6" t="s">
        <v>187</v>
      </c>
      <c r="D192" s="6" t="s">
        <v>188</v>
      </c>
      <c r="E192" s="6" t="s">
        <v>22</v>
      </c>
      <c r="F192" s="6" t="s">
        <v>243</v>
      </c>
      <c r="G192" s="6">
        <v>806</v>
      </c>
      <c r="H192" s="6">
        <v>6</v>
      </c>
      <c r="I192" s="6">
        <v>8</v>
      </c>
      <c r="J192" s="6">
        <v>3</v>
      </c>
      <c r="K192" s="6">
        <v>15</v>
      </c>
      <c r="L192" s="6" t="s">
        <v>252</v>
      </c>
      <c r="M192" s="8" t="s">
        <v>254</v>
      </c>
      <c r="N192" s="8" t="s">
        <v>470</v>
      </c>
      <c r="O192" s="9" t="s">
        <v>258</v>
      </c>
      <c r="P192" s="10">
        <v>13.59</v>
      </c>
      <c r="Q192" s="10">
        <v>12.1</v>
      </c>
      <c r="R192" s="10">
        <v>43.7</v>
      </c>
      <c r="S192" s="15">
        <f t="shared" si="11"/>
        <v>13.574556818181819</v>
      </c>
      <c r="T192" s="10">
        <f t="shared" si="10"/>
        <v>10665.128725505028</v>
      </c>
      <c r="U192" s="11">
        <f t="shared" si="9"/>
        <v>9513.9417711909264</v>
      </c>
      <c r="V192" s="10">
        <v>71.19</v>
      </c>
      <c r="W192" s="10">
        <v>56.65</v>
      </c>
      <c r="X192" s="7">
        <v>0</v>
      </c>
    </row>
    <row r="193" spans="1:24" x14ac:dyDescent="0.25">
      <c r="A193">
        <v>2025</v>
      </c>
      <c r="B193" s="2" t="s">
        <v>186</v>
      </c>
      <c r="C193" s="6" t="s">
        <v>187</v>
      </c>
      <c r="D193" s="6" t="s">
        <v>188</v>
      </c>
      <c r="E193" s="6" t="s">
        <v>22</v>
      </c>
      <c r="F193" s="6" t="s">
        <v>244</v>
      </c>
      <c r="G193" s="6">
        <v>807</v>
      </c>
      <c r="H193" s="6">
        <v>7</v>
      </c>
      <c r="I193" s="6">
        <v>8</v>
      </c>
      <c r="J193" s="6">
        <v>3</v>
      </c>
      <c r="K193" s="6">
        <v>10</v>
      </c>
      <c r="L193" s="6" t="s">
        <v>252</v>
      </c>
      <c r="M193" s="8" t="s">
        <v>472</v>
      </c>
      <c r="N193" s="9" t="s">
        <v>58</v>
      </c>
      <c r="O193" s="9" t="s">
        <v>257</v>
      </c>
      <c r="P193" s="10">
        <v>12.74</v>
      </c>
      <c r="Q193" s="10">
        <v>12</v>
      </c>
      <c r="R193" s="10">
        <v>43.5</v>
      </c>
      <c r="S193" s="15">
        <f t="shared" si="11"/>
        <v>12.74</v>
      </c>
      <c r="T193" s="10">
        <f t="shared" si="10"/>
        <v>10009.442060085836</v>
      </c>
      <c r="U193" s="11">
        <f t="shared" si="9"/>
        <v>8929.0294916019939</v>
      </c>
      <c r="V193" s="10">
        <v>71.03</v>
      </c>
      <c r="W193" s="10">
        <v>55.6</v>
      </c>
      <c r="X193" s="7">
        <v>0</v>
      </c>
    </row>
    <row r="194" spans="1:24" x14ac:dyDescent="0.25">
      <c r="A194" s="3">
        <v>2025</v>
      </c>
      <c r="B194" s="2" t="s">
        <v>186</v>
      </c>
      <c r="C194" s="6" t="s">
        <v>187</v>
      </c>
      <c r="D194" s="6" t="s">
        <v>188</v>
      </c>
      <c r="E194" s="6" t="s">
        <v>22</v>
      </c>
      <c r="F194" s="6" t="s">
        <v>245</v>
      </c>
      <c r="G194" s="6">
        <v>901</v>
      </c>
      <c r="H194" s="6">
        <v>1</v>
      </c>
      <c r="I194" s="6">
        <v>9</v>
      </c>
      <c r="J194" s="6">
        <v>3</v>
      </c>
      <c r="K194" s="6">
        <v>7</v>
      </c>
      <c r="L194" s="6" t="s">
        <v>252</v>
      </c>
      <c r="M194" s="8" t="s">
        <v>31</v>
      </c>
      <c r="N194" s="9" t="s">
        <v>59</v>
      </c>
      <c r="O194" s="9" t="s">
        <v>259</v>
      </c>
      <c r="P194" s="10">
        <v>12.33</v>
      </c>
      <c r="Q194" s="10">
        <v>13.2</v>
      </c>
      <c r="R194" s="10">
        <v>44.6</v>
      </c>
      <c r="S194" s="15">
        <f t="shared" si="11"/>
        <v>12.161863636363636</v>
      </c>
      <c r="T194" s="10">
        <f t="shared" si="10"/>
        <v>9555.2173791873338</v>
      </c>
      <c r="U194" s="11">
        <f t="shared" si="9"/>
        <v>8523.8335229146596</v>
      </c>
      <c r="V194" s="10">
        <v>71.849999999999994</v>
      </c>
      <c r="W194" s="10">
        <v>57.75</v>
      </c>
      <c r="X194" s="7">
        <v>0</v>
      </c>
    </row>
    <row r="195" spans="1:24" x14ac:dyDescent="0.25">
      <c r="A195">
        <v>2025</v>
      </c>
      <c r="B195" s="2" t="s">
        <v>186</v>
      </c>
      <c r="C195" s="6" t="s">
        <v>187</v>
      </c>
      <c r="D195" s="6" t="s">
        <v>188</v>
      </c>
      <c r="E195" s="6" t="s">
        <v>22</v>
      </c>
      <c r="F195" s="6" t="s">
        <v>246</v>
      </c>
      <c r="G195" s="6">
        <v>902</v>
      </c>
      <c r="H195" s="6">
        <v>2</v>
      </c>
      <c r="I195" s="6">
        <v>9</v>
      </c>
      <c r="J195" s="6">
        <v>3</v>
      </c>
      <c r="K195" s="6">
        <v>2</v>
      </c>
      <c r="L195" s="6" t="s">
        <v>252</v>
      </c>
      <c r="M195" s="8" t="s">
        <v>471</v>
      </c>
      <c r="N195" s="8" t="s">
        <v>471</v>
      </c>
      <c r="O195" s="8" t="s">
        <v>471</v>
      </c>
      <c r="P195" s="10">
        <v>13.12</v>
      </c>
      <c r="Q195" s="10">
        <v>12.5</v>
      </c>
      <c r="R195" s="10">
        <v>43.1</v>
      </c>
      <c r="S195" s="15">
        <f t="shared" si="11"/>
        <v>13.045454545454543</v>
      </c>
      <c r="T195" s="10">
        <f t="shared" si="10"/>
        <v>10249.428682905076</v>
      </c>
      <c r="U195" s="11">
        <f t="shared" si="9"/>
        <v>9143.1121167752681</v>
      </c>
      <c r="V195" s="10">
        <v>71.08</v>
      </c>
      <c r="W195" s="10">
        <v>56.53</v>
      </c>
      <c r="X195" s="7">
        <v>1</v>
      </c>
    </row>
    <row r="196" spans="1:24" x14ac:dyDescent="0.25">
      <c r="A196" s="3">
        <v>2025</v>
      </c>
      <c r="B196" s="2" t="s">
        <v>186</v>
      </c>
      <c r="C196" s="6" t="s">
        <v>187</v>
      </c>
      <c r="D196" s="6" t="s">
        <v>188</v>
      </c>
      <c r="E196" s="6" t="s">
        <v>22</v>
      </c>
      <c r="F196" s="6" t="s">
        <v>247</v>
      </c>
      <c r="G196" s="6">
        <v>903</v>
      </c>
      <c r="H196" s="6">
        <v>3</v>
      </c>
      <c r="I196" s="6">
        <v>9</v>
      </c>
      <c r="J196" s="6">
        <v>3</v>
      </c>
      <c r="K196" s="6">
        <v>19</v>
      </c>
      <c r="L196" s="6" t="s">
        <v>252</v>
      </c>
      <c r="M196" s="8" t="s">
        <v>254</v>
      </c>
      <c r="N196" s="9" t="s">
        <v>59</v>
      </c>
      <c r="O196" s="9" t="s">
        <v>258</v>
      </c>
      <c r="P196" s="10">
        <v>13.21</v>
      </c>
      <c r="Q196" s="10">
        <v>12.7</v>
      </c>
      <c r="R196" s="10">
        <v>44.4</v>
      </c>
      <c r="S196" s="15">
        <f t="shared" si="11"/>
        <v>13.104920454545454</v>
      </c>
      <c r="T196" s="10">
        <f t="shared" si="10"/>
        <v>10296.149292920445</v>
      </c>
      <c r="U196" s="11">
        <f t="shared" si="9"/>
        <v>9184.7897349870163</v>
      </c>
      <c r="V196" s="10">
        <v>71.31</v>
      </c>
      <c r="W196" s="10">
        <v>58.07</v>
      </c>
      <c r="X196" s="7">
        <v>1</v>
      </c>
    </row>
    <row r="197" spans="1:24" x14ac:dyDescent="0.25">
      <c r="A197">
        <v>2025</v>
      </c>
      <c r="B197" s="2" t="s">
        <v>186</v>
      </c>
      <c r="C197" s="6" t="s">
        <v>187</v>
      </c>
      <c r="D197" s="6" t="s">
        <v>188</v>
      </c>
      <c r="E197" s="6" t="s">
        <v>22</v>
      </c>
      <c r="F197" s="6" t="s">
        <v>248</v>
      </c>
      <c r="G197" s="6">
        <v>904</v>
      </c>
      <c r="H197" s="6">
        <v>4</v>
      </c>
      <c r="I197" s="6">
        <v>9</v>
      </c>
      <c r="J197" s="6">
        <v>3</v>
      </c>
      <c r="K197" s="6">
        <v>16</v>
      </c>
      <c r="L197" s="6" t="s">
        <v>252</v>
      </c>
      <c r="M197" s="8" t="s">
        <v>254</v>
      </c>
      <c r="N197" s="9" t="s">
        <v>58</v>
      </c>
      <c r="O197" s="9" t="s">
        <v>258</v>
      </c>
      <c r="P197" s="10">
        <v>13.21</v>
      </c>
      <c r="Q197" s="10">
        <v>12.4</v>
      </c>
      <c r="R197" s="10">
        <v>43.4</v>
      </c>
      <c r="S197" s="15">
        <f t="shared" si="11"/>
        <v>13.149954545454547</v>
      </c>
      <c r="T197" s="10">
        <f t="shared" si="10"/>
        <v>10331.531249253505</v>
      </c>
      <c r="U197" s="11">
        <f t="shared" si="9"/>
        <v>9216.3525863099949</v>
      </c>
      <c r="V197" s="10">
        <v>71.17</v>
      </c>
      <c r="W197" s="10">
        <v>57.53</v>
      </c>
      <c r="X197" s="7">
        <v>1</v>
      </c>
    </row>
    <row r="198" spans="1:24" x14ac:dyDescent="0.25">
      <c r="A198" s="3">
        <v>2025</v>
      </c>
      <c r="B198" s="2" t="s">
        <v>186</v>
      </c>
      <c r="C198" s="6" t="s">
        <v>187</v>
      </c>
      <c r="D198" s="6" t="s">
        <v>188</v>
      </c>
      <c r="E198" s="6" t="s">
        <v>22</v>
      </c>
      <c r="F198" s="6" t="s">
        <v>249</v>
      </c>
      <c r="G198" s="6">
        <v>905</v>
      </c>
      <c r="H198" s="6">
        <v>5</v>
      </c>
      <c r="I198" s="6">
        <v>9</v>
      </c>
      <c r="J198" s="6">
        <v>3</v>
      </c>
      <c r="K198" s="6">
        <v>18</v>
      </c>
      <c r="L198" s="6" t="s">
        <v>252</v>
      </c>
      <c r="M198" s="8" t="s">
        <v>254</v>
      </c>
      <c r="N198" s="9" t="s">
        <v>62</v>
      </c>
      <c r="O198" s="9" t="s">
        <v>258</v>
      </c>
      <c r="P198" s="10">
        <v>12.58</v>
      </c>
      <c r="Q198" s="10">
        <v>12.6</v>
      </c>
      <c r="R198" s="10">
        <v>44</v>
      </c>
      <c r="S198" s="15">
        <f t="shared" si="11"/>
        <v>12.494227272727274</v>
      </c>
      <c r="T198" s="10">
        <f t="shared" si="10"/>
        <v>9816.3456806835093</v>
      </c>
      <c r="U198" s="11">
        <f t="shared" si="9"/>
        <v>8756.7758079246287</v>
      </c>
      <c r="V198" s="10">
        <v>71.87</v>
      </c>
      <c r="W198" s="10">
        <v>60.39</v>
      </c>
      <c r="X198" s="7">
        <v>0</v>
      </c>
    </row>
    <row r="199" spans="1:24" x14ac:dyDescent="0.25">
      <c r="A199">
        <v>2025</v>
      </c>
      <c r="B199" s="2" t="s">
        <v>186</v>
      </c>
      <c r="C199" s="6" t="s">
        <v>187</v>
      </c>
      <c r="D199" s="6" t="s">
        <v>188</v>
      </c>
      <c r="E199" s="6" t="s">
        <v>22</v>
      </c>
      <c r="F199" s="6" t="s">
        <v>250</v>
      </c>
      <c r="G199" s="6">
        <v>906</v>
      </c>
      <c r="H199" s="6">
        <v>6</v>
      </c>
      <c r="I199" s="6">
        <v>9</v>
      </c>
      <c r="J199" s="6">
        <v>3</v>
      </c>
      <c r="K199" s="6">
        <v>20</v>
      </c>
      <c r="L199" s="6" t="s">
        <v>252</v>
      </c>
      <c r="M199" s="8" t="s">
        <v>254</v>
      </c>
      <c r="N199" s="9" t="s">
        <v>61</v>
      </c>
      <c r="O199" s="9" t="s">
        <v>258</v>
      </c>
      <c r="P199" s="10">
        <v>12.36</v>
      </c>
      <c r="Q199" s="10">
        <v>12.2</v>
      </c>
      <c r="R199" s="10">
        <v>42.9</v>
      </c>
      <c r="S199" s="15">
        <f t="shared" si="11"/>
        <v>12.33190909090909</v>
      </c>
      <c r="T199" s="10">
        <f t="shared" si="10"/>
        <v>9688.8170750157224</v>
      </c>
      <c r="U199" s="11">
        <f t="shared" si="9"/>
        <v>8643.0125557678166</v>
      </c>
      <c r="V199" s="10">
        <v>70.77</v>
      </c>
      <c r="W199" s="10">
        <v>57.08</v>
      </c>
      <c r="X199" s="7">
        <v>0</v>
      </c>
    </row>
    <row r="200" spans="1:24" x14ac:dyDescent="0.25">
      <c r="A200" s="3">
        <v>2025</v>
      </c>
      <c r="B200" s="2" t="s">
        <v>186</v>
      </c>
      <c r="C200" s="6" t="s">
        <v>187</v>
      </c>
      <c r="D200" s="6" t="s">
        <v>188</v>
      </c>
      <c r="E200" s="6" t="s">
        <v>22</v>
      </c>
      <c r="F200" s="6" t="s">
        <v>251</v>
      </c>
      <c r="G200" s="6">
        <v>907</v>
      </c>
      <c r="H200" s="6">
        <v>7</v>
      </c>
      <c r="I200" s="6">
        <v>9</v>
      </c>
      <c r="J200" s="6">
        <v>3</v>
      </c>
      <c r="K200" s="6">
        <v>12</v>
      </c>
      <c r="L200" s="6" t="s">
        <v>252</v>
      </c>
      <c r="M200" s="8" t="s">
        <v>472</v>
      </c>
      <c r="N200" s="9" t="s">
        <v>62</v>
      </c>
      <c r="O200" s="9" t="s">
        <v>257</v>
      </c>
      <c r="P200" s="10">
        <v>12.43</v>
      </c>
      <c r="Q200" s="10">
        <v>12.6</v>
      </c>
      <c r="R200" s="10">
        <v>43.7</v>
      </c>
      <c r="S200" s="15">
        <f t="shared" si="11"/>
        <v>12.34525</v>
      </c>
      <c r="T200" s="10">
        <f t="shared" si="10"/>
        <v>9699.2986336165359</v>
      </c>
      <c r="U200" s="11">
        <f t="shared" si="9"/>
        <v>8652.3627418523956</v>
      </c>
      <c r="V200" s="10">
        <v>71.900000000000006</v>
      </c>
      <c r="W200" s="10">
        <v>56.4</v>
      </c>
      <c r="X200" s="7">
        <v>0</v>
      </c>
    </row>
    <row r="201" spans="1:24" x14ac:dyDescent="0.25">
      <c r="A201" s="3">
        <v>2025</v>
      </c>
      <c r="B201" s="2" t="s">
        <v>260</v>
      </c>
      <c r="C201" s="6" t="s">
        <v>28</v>
      </c>
      <c r="D201" s="6" t="s">
        <v>29</v>
      </c>
      <c r="E201" s="6" t="s">
        <v>24</v>
      </c>
      <c r="F201" s="6" t="s">
        <v>261</v>
      </c>
      <c r="G201" s="6">
        <v>101</v>
      </c>
      <c r="H201" s="6">
        <v>1</v>
      </c>
      <c r="I201" s="6">
        <v>1</v>
      </c>
      <c r="J201" s="6">
        <v>1</v>
      </c>
      <c r="K201" s="6">
        <v>21</v>
      </c>
      <c r="L201" s="6" t="s">
        <v>23</v>
      </c>
      <c r="M201" s="8" t="s">
        <v>471</v>
      </c>
      <c r="N201" s="8" t="s">
        <v>471</v>
      </c>
      <c r="O201" s="8" t="s">
        <v>471</v>
      </c>
      <c r="P201" s="10">
        <v>5.28</v>
      </c>
      <c r="Q201" s="10">
        <v>13.1</v>
      </c>
      <c r="R201" s="10">
        <v>37</v>
      </c>
      <c r="S201" s="15">
        <f t="shared" si="11"/>
        <v>5.2140000000000004</v>
      </c>
      <c r="T201" s="10">
        <f t="shared" si="10"/>
        <v>4096.485942016292</v>
      </c>
      <c r="U201" s="11">
        <f t="shared" si="9"/>
        <v>3654.3139536273793</v>
      </c>
      <c r="V201" s="10">
        <v>63.48</v>
      </c>
      <c r="W201" s="10">
        <v>24.22</v>
      </c>
      <c r="X201" s="7">
        <v>1</v>
      </c>
    </row>
    <row r="202" spans="1:24" x14ac:dyDescent="0.25">
      <c r="A202" s="3">
        <v>2025</v>
      </c>
      <c r="B202" s="2" t="s">
        <v>260</v>
      </c>
      <c r="C202" s="6" t="s">
        <v>28</v>
      </c>
      <c r="D202" s="6" t="s">
        <v>29</v>
      </c>
      <c r="E202" s="6" t="s">
        <v>24</v>
      </c>
      <c r="F202" s="6" t="s">
        <v>262</v>
      </c>
      <c r="G202" s="6">
        <v>102</v>
      </c>
      <c r="H202" s="6">
        <v>2</v>
      </c>
      <c r="I202" s="6">
        <v>1</v>
      </c>
      <c r="J202" s="6">
        <v>1</v>
      </c>
      <c r="K202" s="6">
        <v>13</v>
      </c>
      <c r="L202" s="6" t="s">
        <v>23</v>
      </c>
      <c r="M202" s="8" t="s">
        <v>472</v>
      </c>
      <c r="N202" s="9" t="s">
        <v>59</v>
      </c>
      <c r="O202" s="9" t="s">
        <v>257</v>
      </c>
      <c r="P202" s="10">
        <v>5.04</v>
      </c>
      <c r="Q202" s="10">
        <v>11.8</v>
      </c>
      <c r="R202" s="10">
        <v>34.6</v>
      </c>
      <c r="S202" s="15">
        <f t="shared" si="11"/>
        <v>5.0514545454545461</v>
      </c>
      <c r="T202" s="10">
        <f t="shared" si="10"/>
        <v>3968.7787748731953</v>
      </c>
      <c r="U202" s="11">
        <f t="shared" si="9"/>
        <v>3540.3914138030286</v>
      </c>
      <c r="V202" s="10">
        <v>65.23</v>
      </c>
      <c r="W202" s="10">
        <v>27.75</v>
      </c>
      <c r="X202" s="7">
        <v>0</v>
      </c>
    </row>
    <row r="203" spans="1:24" x14ac:dyDescent="0.25">
      <c r="A203" s="3">
        <v>2025</v>
      </c>
      <c r="B203" s="2" t="s">
        <v>260</v>
      </c>
      <c r="C203" s="6" t="s">
        <v>28</v>
      </c>
      <c r="D203" s="6" t="s">
        <v>29</v>
      </c>
      <c r="E203" s="6" t="s">
        <v>24</v>
      </c>
      <c r="F203" s="6" t="s">
        <v>263</v>
      </c>
      <c r="G203" s="6">
        <v>103</v>
      </c>
      <c r="H203" s="6">
        <v>3</v>
      </c>
      <c r="I203" s="6">
        <v>1</v>
      </c>
      <c r="J203" s="6">
        <v>2</v>
      </c>
      <c r="K203" s="6">
        <v>20</v>
      </c>
      <c r="L203" s="6" t="s">
        <v>23</v>
      </c>
      <c r="M203" s="8" t="s">
        <v>254</v>
      </c>
      <c r="N203" s="9" t="s">
        <v>61</v>
      </c>
      <c r="O203" s="9" t="s">
        <v>258</v>
      </c>
      <c r="P203" s="10">
        <v>5.84</v>
      </c>
      <c r="Q203" s="10">
        <v>13</v>
      </c>
      <c r="R203" s="10">
        <v>38.1</v>
      </c>
      <c r="S203" s="15">
        <f t="shared" si="11"/>
        <v>5.7736363636363635</v>
      </c>
      <c r="T203" s="10">
        <f t="shared" si="10"/>
        <v>4536.1757188244001</v>
      </c>
      <c r="U203" s="11">
        <f t="shared" ref="U203:U266" si="12">T203/1.121</f>
        <v>4046.5439061769848</v>
      </c>
      <c r="V203" s="10">
        <v>65.709999999999994</v>
      </c>
      <c r="W203" s="10">
        <v>29.14</v>
      </c>
      <c r="X203" s="7">
        <v>0</v>
      </c>
    </row>
    <row r="204" spans="1:24" x14ac:dyDescent="0.25">
      <c r="A204" s="3">
        <v>2025</v>
      </c>
      <c r="B204" s="2" t="s">
        <v>260</v>
      </c>
      <c r="C204" s="6" t="s">
        <v>28</v>
      </c>
      <c r="D204" s="6" t="s">
        <v>29</v>
      </c>
      <c r="E204" s="6" t="s">
        <v>24</v>
      </c>
      <c r="F204" s="6" t="s">
        <v>264</v>
      </c>
      <c r="G204" s="6">
        <v>104</v>
      </c>
      <c r="H204" s="6">
        <v>4</v>
      </c>
      <c r="I204" s="6">
        <v>1</v>
      </c>
      <c r="J204" s="6">
        <v>3</v>
      </c>
      <c r="K204" s="6">
        <v>13</v>
      </c>
      <c r="L204" s="6" t="s">
        <v>23</v>
      </c>
      <c r="M204" s="8" t="s">
        <v>472</v>
      </c>
      <c r="N204" s="9" t="s">
        <v>59</v>
      </c>
      <c r="O204" s="9" t="s">
        <v>257</v>
      </c>
      <c r="P204" s="10">
        <v>8.09</v>
      </c>
      <c r="Q204" s="10">
        <v>13.2</v>
      </c>
      <c r="R204" s="10">
        <v>40.200000000000003</v>
      </c>
      <c r="S204" s="15">
        <f t="shared" si="11"/>
        <v>7.9796818181818185</v>
      </c>
      <c r="T204" s="10">
        <f t="shared" si="10"/>
        <v>6269.4005350872303</v>
      </c>
      <c r="U204" s="11">
        <f t="shared" si="12"/>
        <v>5592.6855799172436</v>
      </c>
      <c r="V204" s="10">
        <v>64.45</v>
      </c>
      <c r="W204" s="10">
        <v>25.17</v>
      </c>
      <c r="X204" s="7">
        <v>0</v>
      </c>
    </row>
    <row r="205" spans="1:24" x14ac:dyDescent="0.25">
      <c r="A205" s="3">
        <v>2025</v>
      </c>
      <c r="B205" s="2" t="s">
        <v>260</v>
      </c>
      <c r="C205" s="6" t="s">
        <v>28</v>
      </c>
      <c r="D205" s="6" t="s">
        <v>29</v>
      </c>
      <c r="E205" s="6" t="s">
        <v>24</v>
      </c>
      <c r="F205" s="6" t="s">
        <v>265</v>
      </c>
      <c r="G205" s="6">
        <v>105</v>
      </c>
      <c r="H205" s="6">
        <v>5</v>
      </c>
      <c r="I205" s="6">
        <v>1</v>
      </c>
      <c r="J205" s="6">
        <v>3</v>
      </c>
      <c r="K205" s="6">
        <v>20</v>
      </c>
      <c r="L205" s="6" t="s">
        <v>23</v>
      </c>
      <c r="M205" s="8" t="s">
        <v>254</v>
      </c>
      <c r="N205" s="9" t="s">
        <v>61</v>
      </c>
      <c r="O205" s="9" t="s">
        <v>258</v>
      </c>
      <c r="P205" s="10">
        <v>6.66</v>
      </c>
      <c r="Q205" s="10">
        <v>13.3</v>
      </c>
      <c r="R205" s="10">
        <v>39.200000000000003</v>
      </c>
      <c r="S205" s="15">
        <f t="shared" si="11"/>
        <v>6.5616136363636359</v>
      </c>
      <c r="T205" s="10">
        <f t="shared" si="10"/>
        <v>5155.2662098784112</v>
      </c>
      <c r="U205" s="11">
        <f t="shared" si="12"/>
        <v>4598.8101783036673</v>
      </c>
      <c r="V205" s="10">
        <v>65.27</v>
      </c>
      <c r="W205" s="10">
        <v>27.22</v>
      </c>
      <c r="X205" s="7">
        <v>0</v>
      </c>
    </row>
    <row r="206" spans="1:24" x14ac:dyDescent="0.25">
      <c r="A206" s="3">
        <v>2025</v>
      </c>
      <c r="B206" s="2" t="s">
        <v>260</v>
      </c>
      <c r="C206" s="6" t="s">
        <v>28</v>
      </c>
      <c r="D206" s="6" t="s">
        <v>29</v>
      </c>
      <c r="E206" s="6" t="s">
        <v>24</v>
      </c>
      <c r="F206" s="6" t="s">
        <v>266</v>
      </c>
      <c r="G206" s="6">
        <v>106</v>
      </c>
      <c r="H206" s="6">
        <v>6</v>
      </c>
      <c r="I206" s="6">
        <v>1</v>
      </c>
      <c r="J206" s="6">
        <v>4</v>
      </c>
      <c r="K206" s="6">
        <v>9</v>
      </c>
      <c r="L206" s="6" t="s">
        <v>23</v>
      </c>
      <c r="M206" s="8" t="s">
        <v>472</v>
      </c>
      <c r="N206" s="8" t="s">
        <v>470</v>
      </c>
      <c r="O206" s="9" t="s">
        <v>257</v>
      </c>
      <c r="P206" s="10">
        <v>7.15</v>
      </c>
      <c r="Q206" s="10">
        <v>12.6</v>
      </c>
      <c r="R206" s="10">
        <v>37.799999999999997</v>
      </c>
      <c r="S206" s="15">
        <f t="shared" si="11"/>
        <v>7.1012500000000003</v>
      </c>
      <c r="T206" s="10">
        <f t="shared" si="10"/>
        <v>5579.2425768590701</v>
      </c>
      <c r="U206" s="11">
        <f t="shared" si="12"/>
        <v>4977.0228161097857</v>
      </c>
      <c r="V206" s="10">
        <v>64.83</v>
      </c>
      <c r="W206" s="10">
        <v>27.23</v>
      </c>
      <c r="X206" s="7">
        <v>0</v>
      </c>
    </row>
    <row r="207" spans="1:24" x14ac:dyDescent="0.25">
      <c r="A207" s="3">
        <v>2025</v>
      </c>
      <c r="B207" s="2" t="s">
        <v>260</v>
      </c>
      <c r="C207" s="6" t="s">
        <v>28</v>
      </c>
      <c r="D207" s="6" t="s">
        <v>29</v>
      </c>
      <c r="E207" s="6" t="s">
        <v>24</v>
      </c>
      <c r="F207" s="6" t="s">
        <v>267</v>
      </c>
      <c r="G207" s="6">
        <v>201</v>
      </c>
      <c r="H207" s="6">
        <v>1</v>
      </c>
      <c r="I207" s="6">
        <v>2</v>
      </c>
      <c r="J207" s="6">
        <v>1</v>
      </c>
      <c r="K207" s="6">
        <v>12</v>
      </c>
      <c r="L207" s="6" t="s">
        <v>23</v>
      </c>
      <c r="M207" s="8" t="s">
        <v>472</v>
      </c>
      <c r="N207" s="9" t="s">
        <v>62</v>
      </c>
      <c r="O207" s="9" t="s">
        <v>257</v>
      </c>
      <c r="P207" s="10">
        <v>5.83</v>
      </c>
      <c r="Q207" s="10">
        <v>12.9</v>
      </c>
      <c r="R207" s="10">
        <v>38.5</v>
      </c>
      <c r="S207" s="15">
        <f t="shared" si="11"/>
        <v>5.7703750000000005</v>
      </c>
      <c r="T207" s="10">
        <f t="shared" si="10"/>
        <v>4533.6133616536736</v>
      </c>
      <c r="U207" s="11">
        <f t="shared" si="12"/>
        <v>4044.258128147791</v>
      </c>
      <c r="V207" s="10">
        <v>65.45</v>
      </c>
      <c r="W207" s="10">
        <v>25.45</v>
      </c>
      <c r="X207" s="7">
        <v>1</v>
      </c>
    </row>
    <row r="208" spans="1:24" x14ac:dyDescent="0.25">
      <c r="A208" s="3">
        <v>2025</v>
      </c>
      <c r="B208" s="2" t="s">
        <v>260</v>
      </c>
      <c r="C208" s="6" t="s">
        <v>28</v>
      </c>
      <c r="D208" s="6" t="s">
        <v>29</v>
      </c>
      <c r="E208" s="6" t="s">
        <v>24</v>
      </c>
      <c r="F208" s="6" t="s">
        <v>268</v>
      </c>
      <c r="G208" s="6">
        <v>202</v>
      </c>
      <c r="H208" s="6">
        <v>2</v>
      </c>
      <c r="I208" s="6">
        <v>2</v>
      </c>
      <c r="J208" s="6">
        <v>1</v>
      </c>
      <c r="K208" s="6">
        <v>19</v>
      </c>
      <c r="L208" s="6" t="s">
        <v>23</v>
      </c>
      <c r="M208" s="8" t="s">
        <v>254</v>
      </c>
      <c r="N208" s="9" t="s">
        <v>59</v>
      </c>
      <c r="O208" s="9" t="s">
        <v>258</v>
      </c>
      <c r="P208" s="10">
        <v>5.79</v>
      </c>
      <c r="Q208" s="10">
        <v>12.9</v>
      </c>
      <c r="R208" s="10">
        <v>37.1</v>
      </c>
      <c r="S208" s="15">
        <f t="shared" si="11"/>
        <v>5.7307840909090908</v>
      </c>
      <c r="T208" s="10">
        <f t="shared" si="10"/>
        <v>4502.5079526543341</v>
      </c>
      <c r="U208" s="11">
        <f t="shared" si="12"/>
        <v>4016.5102164623854</v>
      </c>
      <c r="V208" s="10">
        <v>65.08</v>
      </c>
      <c r="W208" s="10">
        <v>28.92</v>
      </c>
      <c r="X208" s="7">
        <v>0</v>
      </c>
    </row>
    <row r="209" spans="1:24" x14ac:dyDescent="0.25">
      <c r="A209" s="3">
        <v>2025</v>
      </c>
      <c r="B209" s="2" t="s">
        <v>260</v>
      </c>
      <c r="C209" s="6" t="s">
        <v>28</v>
      </c>
      <c r="D209" s="6" t="s">
        <v>29</v>
      </c>
      <c r="E209" s="6" t="s">
        <v>24</v>
      </c>
      <c r="F209" s="6" t="s">
        <v>269</v>
      </c>
      <c r="G209" s="6">
        <v>203</v>
      </c>
      <c r="H209" s="6">
        <v>3</v>
      </c>
      <c r="I209" s="6">
        <v>2</v>
      </c>
      <c r="J209" s="6">
        <v>2</v>
      </c>
      <c r="K209" s="6">
        <v>13</v>
      </c>
      <c r="L209" s="6" t="s">
        <v>23</v>
      </c>
      <c r="M209" s="8" t="s">
        <v>472</v>
      </c>
      <c r="N209" s="9" t="s">
        <v>59</v>
      </c>
      <c r="O209" s="9" t="s">
        <v>257</v>
      </c>
      <c r="P209" s="10">
        <v>6.42</v>
      </c>
      <c r="Q209" s="10">
        <v>13</v>
      </c>
      <c r="R209" s="10">
        <v>39.200000000000003</v>
      </c>
      <c r="S209" s="15">
        <f t="shared" si="11"/>
        <v>6.3470454545454542</v>
      </c>
      <c r="T209" s="10">
        <f t="shared" si="10"/>
        <v>4986.6863210364118</v>
      </c>
      <c r="U209" s="11">
        <f t="shared" si="12"/>
        <v>4448.4266913794927</v>
      </c>
      <c r="V209" s="10">
        <v>65.819999999999993</v>
      </c>
      <c r="W209" s="10">
        <v>27.29</v>
      </c>
      <c r="X209" s="7">
        <v>2</v>
      </c>
    </row>
    <row r="210" spans="1:24" x14ac:dyDescent="0.25">
      <c r="A210" s="3">
        <v>2025</v>
      </c>
      <c r="B210" s="2" t="s">
        <v>260</v>
      </c>
      <c r="C210" s="6" t="s">
        <v>28</v>
      </c>
      <c r="D210" s="6" t="s">
        <v>29</v>
      </c>
      <c r="E210" s="6" t="s">
        <v>24</v>
      </c>
      <c r="F210" s="6" t="s">
        <v>270</v>
      </c>
      <c r="G210" s="6">
        <v>204</v>
      </c>
      <c r="H210" s="6">
        <v>4</v>
      </c>
      <c r="I210" s="6">
        <v>2</v>
      </c>
      <c r="J210" s="6">
        <v>3</v>
      </c>
      <c r="K210" s="6">
        <v>8</v>
      </c>
      <c r="L210" s="6" t="s">
        <v>23</v>
      </c>
      <c r="M210" s="8" t="s">
        <v>31</v>
      </c>
      <c r="N210" s="9" t="s">
        <v>61</v>
      </c>
      <c r="O210" s="9" t="s">
        <v>259</v>
      </c>
      <c r="P210" s="10">
        <v>7.4</v>
      </c>
      <c r="Q210" s="10">
        <v>12.9</v>
      </c>
      <c r="R210" s="10">
        <v>38.5</v>
      </c>
      <c r="S210" s="15">
        <f t="shared" si="11"/>
        <v>7.3243181818181817</v>
      </c>
      <c r="T210" s="10">
        <f t="shared" si="10"/>
        <v>5754.5006648777335</v>
      </c>
      <c r="U210" s="11">
        <f t="shared" si="12"/>
        <v>5133.3636617999409</v>
      </c>
      <c r="V210" s="10">
        <v>65.709999999999994</v>
      </c>
      <c r="W210" s="10">
        <v>29.34</v>
      </c>
      <c r="X210" s="7">
        <v>0</v>
      </c>
    </row>
    <row r="211" spans="1:24" x14ac:dyDescent="0.25">
      <c r="A211" s="3">
        <v>2025</v>
      </c>
      <c r="B211" s="2" t="s">
        <v>260</v>
      </c>
      <c r="C211" s="6" t="s">
        <v>28</v>
      </c>
      <c r="D211" s="6" t="s">
        <v>29</v>
      </c>
      <c r="E211" s="6" t="s">
        <v>24</v>
      </c>
      <c r="F211" s="6" t="s">
        <v>271</v>
      </c>
      <c r="G211" s="6">
        <v>205</v>
      </c>
      <c r="H211" s="6">
        <v>5</v>
      </c>
      <c r="I211" s="6">
        <v>2</v>
      </c>
      <c r="J211" s="6">
        <v>3</v>
      </c>
      <c r="K211" s="6">
        <v>12</v>
      </c>
      <c r="L211" s="6" t="s">
        <v>23</v>
      </c>
      <c r="M211" s="8" t="s">
        <v>472</v>
      </c>
      <c r="N211" s="9" t="s">
        <v>62</v>
      </c>
      <c r="O211" s="9" t="s">
        <v>257</v>
      </c>
      <c r="P211" s="10">
        <v>6.96</v>
      </c>
      <c r="Q211" s="10">
        <v>12.9</v>
      </c>
      <c r="R211" s="10">
        <v>39.299999999999997</v>
      </c>
      <c r="S211" s="15">
        <f t="shared" si="11"/>
        <v>6.8888181818181815</v>
      </c>
      <c r="T211" s="10">
        <f t="shared" ref="T211:T274" si="13">((100000*S211*12%/2.205))/((4.66*16)/10.764)</f>
        <v>5412.3411658850027</v>
      </c>
      <c r="U211" s="11">
        <f t="shared" si="12"/>
        <v>4828.1366332604839</v>
      </c>
      <c r="V211" s="10">
        <v>66.47</v>
      </c>
      <c r="W211" s="10">
        <v>28.36</v>
      </c>
      <c r="X211" s="7">
        <v>0</v>
      </c>
    </row>
    <row r="212" spans="1:24" x14ac:dyDescent="0.25">
      <c r="A212" s="3">
        <v>2025</v>
      </c>
      <c r="B212" s="2" t="s">
        <v>260</v>
      </c>
      <c r="C212" s="6" t="s">
        <v>28</v>
      </c>
      <c r="D212" s="6" t="s">
        <v>29</v>
      </c>
      <c r="E212" s="6" t="s">
        <v>24</v>
      </c>
      <c r="F212" s="6" t="s">
        <v>272</v>
      </c>
      <c r="G212" s="6">
        <v>206</v>
      </c>
      <c r="H212" s="6">
        <v>6</v>
      </c>
      <c r="I212" s="6">
        <v>2</v>
      </c>
      <c r="J212" s="6">
        <v>4</v>
      </c>
      <c r="K212" s="6">
        <v>15</v>
      </c>
      <c r="L212" s="6" t="s">
        <v>23</v>
      </c>
      <c r="M212" s="8" t="s">
        <v>254</v>
      </c>
      <c r="N212" s="8" t="s">
        <v>470</v>
      </c>
      <c r="O212" s="9" t="s">
        <v>258</v>
      </c>
      <c r="P212" s="10">
        <v>8.2200000000000006</v>
      </c>
      <c r="Q212" s="10">
        <v>13.1</v>
      </c>
      <c r="R212" s="10">
        <v>38.700000000000003</v>
      </c>
      <c r="S212" s="15">
        <f t="shared" ref="S212:S275" si="14">P212*(1-Q212/100)/(1-0.12)</f>
        <v>8.1172500000000003</v>
      </c>
      <c r="T212" s="10">
        <f t="shared" si="13"/>
        <v>6377.4837960935447</v>
      </c>
      <c r="U212" s="11">
        <f t="shared" si="12"/>
        <v>5689.1024050789874</v>
      </c>
      <c r="V212" s="10">
        <v>64.680000000000007</v>
      </c>
      <c r="W212" s="10">
        <v>26.49</v>
      </c>
      <c r="X212" s="7">
        <v>0</v>
      </c>
    </row>
    <row r="213" spans="1:24" x14ac:dyDescent="0.25">
      <c r="A213" s="3">
        <v>2025</v>
      </c>
      <c r="B213" s="2" t="s">
        <v>260</v>
      </c>
      <c r="C213" s="6" t="s">
        <v>28</v>
      </c>
      <c r="D213" s="6" t="s">
        <v>29</v>
      </c>
      <c r="E213" s="6" t="s">
        <v>24</v>
      </c>
      <c r="F213" s="6" t="s">
        <v>273</v>
      </c>
      <c r="G213" s="6">
        <v>301</v>
      </c>
      <c r="H213" s="6">
        <v>1</v>
      </c>
      <c r="I213" s="6">
        <v>3</v>
      </c>
      <c r="J213" s="6">
        <v>1</v>
      </c>
      <c r="K213" s="6">
        <v>14</v>
      </c>
      <c r="L213" s="6" t="s">
        <v>23</v>
      </c>
      <c r="M213" s="8" t="s">
        <v>472</v>
      </c>
      <c r="N213" s="9" t="s">
        <v>61</v>
      </c>
      <c r="O213" s="9" t="s">
        <v>257</v>
      </c>
      <c r="P213" s="10">
        <v>5.7</v>
      </c>
      <c r="Q213" s="10">
        <v>13.2</v>
      </c>
      <c r="R213" s="10">
        <v>37.700000000000003</v>
      </c>
      <c r="S213" s="15">
        <f t="shared" si="14"/>
        <v>5.622272727272728</v>
      </c>
      <c r="T213" s="10">
        <f t="shared" si="13"/>
        <v>4417.2537762666525</v>
      </c>
      <c r="U213" s="11">
        <f t="shared" si="12"/>
        <v>3940.4583195955865</v>
      </c>
      <c r="V213" s="10">
        <v>64.25</v>
      </c>
      <c r="W213" s="10">
        <v>30.72</v>
      </c>
      <c r="X213" s="7">
        <v>0</v>
      </c>
    </row>
    <row r="214" spans="1:24" x14ac:dyDescent="0.25">
      <c r="A214" s="3">
        <v>2025</v>
      </c>
      <c r="B214" s="2" t="s">
        <v>260</v>
      </c>
      <c r="C214" s="6" t="s">
        <v>28</v>
      </c>
      <c r="D214" s="6" t="s">
        <v>29</v>
      </c>
      <c r="E214" s="6" t="s">
        <v>24</v>
      </c>
      <c r="F214" s="6" t="s">
        <v>274</v>
      </c>
      <c r="G214" s="6">
        <v>302</v>
      </c>
      <c r="H214" s="6">
        <v>2</v>
      </c>
      <c r="I214" s="6">
        <v>3</v>
      </c>
      <c r="J214" s="6">
        <v>1</v>
      </c>
      <c r="K214" s="6">
        <v>4</v>
      </c>
      <c r="L214" s="6" t="s">
        <v>23</v>
      </c>
      <c r="M214" s="8" t="s">
        <v>31</v>
      </c>
      <c r="N214" s="9" t="s">
        <v>58</v>
      </c>
      <c r="O214" s="9" t="s">
        <v>259</v>
      </c>
      <c r="P214" s="10">
        <v>5.31</v>
      </c>
      <c r="Q214" s="10">
        <v>11.8</v>
      </c>
      <c r="R214" s="10">
        <v>35.700000000000003</v>
      </c>
      <c r="S214" s="15">
        <f t="shared" si="14"/>
        <v>5.3220681818181816</v>
      </c>
      <c r="T214" s="10">
        <f t="shared" si="13"/>
        <v>4181.391923527116</v>
      </c>
      <c r="U214" s="11">
        <f t="shared" si="12"/>
        <v>3730.0552395424766</v>
      </c>
      <c r="V214" s="10">
        <v>63.91</v>
      </c>
      <c r="W214" s="10">
        <v>28.03</v>
      </c>
      <c r="X214" s="7">
        <v>0</v>
      </c>
    </row>
    <row r="215" spans="1:24" x14ac:dyDescent="0.25">
      <c r="A215" s="3">
        <v>2025</v>
      </c>
      <c r="B215" s="2" t="s">
        <v>260</v>
      </c>
      <c r="C215" s="6" t="s">
        <v>28</v>
      </c>
      <c r="D215" s="6" t="s">
        <v>29</v>
      </c>
      <c r="E215" s="6" t="s">
        <v>24</v>
      </c>
      <c r="F215" s="6" t="s">
        <v>275</v>
      </c>
      <c r="G215" s="6">
        <v>303</v>
      </c>
      <c r="H215" s="6">
        <v>3</v>
      </c>
      <c r="I215" s="6">
        <v>3</v>
      </c>
      <c r="J215" s="6">
        <v>2</v>
      </c>
      <c r="K215" s="6">
        <v>14</v>
      </c>
      <c r="L215" s="6" t="s">
        <v>23</v>
      </c>
      <c r="M215" s="8" t="s">
        <v>472</v>
      </c>
      <c r="N215" s="9" t="s">
        <v>61</v>
      </c>
      <c r="O215" s="9" t="s">
        <v>257</v>
      </c>
      <c r="P215" s="10">
        <v>6.28</v>
      </c>
      <c r="Q215" s="10">
        <v>14</v>
      </c>
      <c r="R215" s="10">
        <v>38.299999999999997</v>
      </c>
      <c r="S215" s="15">
        <f t="shared" si="14"/>
        <v>6.1372727272727277</v>
      </c>
      <c r="T215" s="10">
        <f t="shared" si="13"/>
        <v>4821.8740793234965</v>
      </c>
      <c r="U215" s="11">
        <f t="shared" si="12"/>
        <v>4301.404174240407</v>
      </c>
      <c r="V215" s="10">
        <v>67.62</v>
      </c>
      <c r="W215" s="10">
        <v>34.130000000000003</v>
      </c>
      <c r="X215" s="7">
        <v>0</v>
      </c>
    </row>
    <row r="216" spans="1:24" x14ac:dyDescent="0.25">
      <c r="A216" s="3">
        <v>2025</v>
      </c>
      <c r="B216" s="2" t="s">
        <v>260</v>
      </c>
      <c r="C216" s="6" t="s">
        <v>28</v>
      </c>
      <c r="D216" s="6" t="s">
        <v>29</v>
      </c>
      <c r="E216" s="6" t="s">
        <v>24</v>
      </c>
      <c r="F216" s="6" t="s">
        <v>276</v>
      </c>
      <c r="G216" s="6">
        <v>304</v>
      </c>
      <c r="H216" s="6">
        <v>4</v>
      </c>
      <c r="I216" s="6">
        <v>3</v>
      </c>
      <c r="J216" s="6">
        <v>3</v>
      </c>
      <c r="K216" s="6">
        <v>9</v>
      </c>
      <c r="L216" s="6" t="s">
        <v>23</v>
      </c>
      <c r="M216" s="8" t="s">
        <v>472</v>
      </c>
      <c r="N216" s="8" t="s">
        <v>470</v>
      </c>
      <c r="O216" s="9" t="s">
        <v>257</v>
      </c>
      <c r="P216" s="10">
        <v>6</v>
      </c>
      <c r="Q216" s="10">
        <v>12.3</v>
      </c>
      <c r="R216" s="10">
        <v>36</v>
      </c>
      <c r="S216" s="15">
        <f t="shared" si="14"/>
        <v>5.9795454545454554</v>
      </c>
      <c r="T216" s="10">
        <f t="shared" si="13"/>
        <v>4697.9524154570136</v>
      </c>
      <c r="U216" s="11">
        <f t="shared" si="12"/>
        <v>4190.8585329678981</v>
      </c>
      <c r="V216" s="10">
        <v>64.89</v>
      </c>
      <c r="W216" s="10">
        <v>26.27</v>
      </c>
      <c r="X216" s="7">
        <v>0</v>
      </c>
    </row>
    <row r="217" spans="1:24" x14ac:dyDescent="0.25">
      <c r="A217" s="3">
        <v>2025</v>
      </c>
      <c r="B217" s="2" t="s">
        <v>260</v>
      </c>
      <c r="C217" s="6" t="s">
        <v>28</v>
      </c>
      <c r="D217" s="6" t="s">
        <v>29</v>
      </c>
      <c r="E217" s="6" t="s">
        <v>24</v>
      </c>
      <c r="F217" s="6" t="s">
        <v>277</v>
      </c>
      <c r="G217" s="6">
        <v>305</v>
      </c>
      <c r="H217" s="6">
        <v>5</v>
      </c>
      <c r="I217" s="6">
        <v>3</v>
      </c>
      <c r="J217" s="6">
        <v>3</v>
      </c>
      <c r="K217" s="6">
        <v>5</v>
      </c>
      <c r="L217" s="6" t="s">
        <v>23</v>
      </c>
      <c r="M217" s="8" t="s">
        <v>31</v>
      </c>
      <c r="N217" s="9" t="s">
        <v>60</v>
      </c>
      <c r="O217" s="9" t="s">
        <v>259</v>
      </c>
      <c r="P217" s="10">
        <v>7.41</v>
      </c>
      <c r="Q217" s="10">
        <v>12.6</v>
      </c>
      <c r="R217" s="10">
        <v>38.1</v>
      </c>
      <c r="S217" s="15">
        <f t="shared" si="14"/>
        <v>7.3594772727272728</v>
      </c>
      <c r="T217" s="10">
        <f t="shared" si="13"/>
        <v>5782.1241251084894</v>
      </c>
      <c r="U217" s="11">
        <f t="shared" si="12"/>
        <v>5158.0054639683221</v>
      </c>
      <c r="V217" s="10">
        <v>66.84</v>
      </c>
      <c r="W217" s="10">
        <v>30.74</v>
      </c>
      <c r="X217" s="7">
        <v>0</v>
      </c>
    </row>
    <row r="218" spans="1:24" x14ac:dyDescent="0.25">
      <c r="A218" s="3">
        <v>2025</v>
      </c>
      <c r="B218" s="2" t="s">
        <v>260</v>
      </c>
      <c r="C218" s="6" t="s">
        <v>28</v>
      </c>
      <c r="D218" s="6" t="s">
        <v>29</v>
      </c>
      <c r="E218" s="6" t="s">
        <v>24</v>
      </c>
      <c r="F218" s="6" t="s">
        <v>278</v>
      </c>
      <c r="G218" s="6">
        <v>306</v>
      </c>
      <c r="H218" s="6">
        <v>6</v>
      </c>
      <c r="I218" s="6">
        <v>3</v>
      </c>
      <c r="J218" s="6">
        <v>4</v>
      </c>
      <c r="K218" s="6">
        <v>19</v>
      </c>
      <c r="L218" s="6" t="s">
        <v>23</v>
      </c>
      <c r="M218" s="8" t="s">
        <v>254</v>
      </c>
      <c r="N218" s="9" t="s">
        <v>59</v>
      </c>
      <c r="O218" s="9" t="s">
        <v>258</v>
      </c>
      <c r="P218" s="10">
        <v>7.93</v>
      </c>
      <c r="Q218" s="10">
        <v>13</v>
      </c>
      <c r="R218" s="10">
        <v>38.1</v>
      </c>
      <c r="S218" s="15">
        <f t="shared" si="14"/>
        <v>7.8398863636363636</v>
      </c>
      <c r="T218" s="10">
        <f t="shared" si="13"/>
        <v>6159.5673716228584</v>
      </c>
      <c r="U218" s="11">
        <f t="shared" si="12"/>
        <v>5494.7077356136115</v>
      </c>
      <c r="V218" s="10">
        <v>66.25</v>
      </c>
      <c r="W218" s="10">
        <v>32.31</v>
      </c>
      <c r="X218" s="7">
        <v>1</v>
      </c>
    </row>
    <row r="219" spans="1:24" x14ac:dyDescent="0.25">
      <c r="A219" s="3">
        <v>2025</v>
      </c>
      <c r="B219" s="2" t="s">
        <v>260</v>
      </c>
      <c r="C219" s="6" t="s">
        <v>28</v>
      </c>
      <c r="D219" s="6" t="s">
        <v>29</v>
      </c>
      <c r="E219" s="6" t="s">
        <v>24</v>
      </c>
      <c r="F219" s="6" t="s">
        <v>279</v>
      </c>
      <c r="G219" s="6">
        <v>401</v>
      </c>
      <c r="H219" s="6">
        <v>1</v>
      </c>
      <c r="I219" s="6">
        <v>4</v>
      </c>
      <c r="J219" s="6">
        <v>1</v>
      </c>
      <c r="K219" s="6">
        <v>17</v>
      </c>
      <c r="L219" s="6" t="s">
        <v>23</v>
      </c>
      <c r="M219" s="8" t="s">
        <v>254</v>
      </c>
      <c r="N219" s="9" t="s">
        <v>60</v>
      </c>
      <c r="O219" s="9" t="s">
        <v>258</v>
      </c>
      <c r="P219" s="10">
        <v>5.81</v>
      </c>
      <c r="Q219" s="10">
        <v>13.1</v>
      </c>
      <c r="R219" s="10">
        <v>38.6</v>
      </c>
      <c r="S219" s="15">
        <f t="shared" si="14"/>
        <v>5.7373749999999992</v>
      </c>
      <c r="T219" s="10">
        <f t="shared" si="13"/>
        <v>4507.6862354383802</v>
      </c>
      <c r="U219" s="11">
        <f t="shared" si="12"/>
        <v>4021.1295588210351</v>
      </c>
      <c r="V219" s="10">
        <v>63.84</v>
      </c>
      <c r="W219" s="10">
        <v>28.46</v>
      </c>
      <c r="X219" s="7">
        <v>0</v>
      </c>
    </row>
    <row r="220" spans="1:24" x14ac:dyDescent="0.25">
      <c r="A220" s="3">
        <v>2025</v>
      </c>
      <c r="B220" s="2" t="s">
        <v>260</v>
      </c>
      <c r="C220" s="6" t="s">
        <v>28</v>
      </c>
      <c r="D220" s="6" t="s">
        <v>29</v>
      </c>
      <c r="E220" s="6" t="s">
        <v>24</v>
      </c>
      <c r="F220" s="6" t="s">
        <v>280</v>
      </c>
      <c r="G220" s="6">
        <v>402</v>
      </c>
      <c r="H220" s="6">
        <v>2</v>
      </c>
      <c r="I220" s="6">
        <v>4</v>
      </c>
      <c r="J220" s="6">
        <v>1</v>
      </c>
      <c r="K220" s="6">
        <v>6</v>
      </c>
      <c r="L220" s="6" t="s">
        <v>23</v>
      </c>
      <c r="M220" s="8" t="s">
        <v>31</v>
      </c>
      <c r="N220" s="9" t="s">
        <v>62</v>
      </c>
      <c r="O220" s="9" t="s">
        <v>259</v>
      </c>
      <c r="P220" s="10">
        <v>5.81</v>
      </c>
      <c r="Q220" s="10">
        <v>12</v>
      </c>
      <c r="R220" s="10">
        <v>37.1</v>
      </c>
      <c r="S220" s="15">
        <f t="shared" si="14"/>
        <v>5.81</v>
      </c>
      <c r="T220" s="10">
        <f t="shared" si="13"/>
        <v>4564.7455548743101</v>
      </c>
      <c r="U220" s="11">
        <f t="shared" si="12"/>
        <v>4072.0299329833274</v>
      </c>
      <c r="V220" s="10">
        <v>64.64</v>
      </c>
      <c r="W220" s="10">
        <v>28.28</v>
      </c>
      <c r="X220" s="7">
        <v>0</v>
      </c>
    </row>
    <row r="221" spans="1:24" x14ac:dyDescent="0.25">
      <c r="A221" s="3">
        <v>2025</v>
      </c>
      <c r="B221" s="2" t="s">
        <v>260</v>
      </c>
      <c r="C221" s="6" t="s">
        <v>28</v>
      </c>
      <c r="D221" s="6" t="s">
        <v>29</v>
      </c>
      <c r="E221" s="6" t="s">
        <v>24</v>
      </c>
      <c r="F221" s="6" t="s">
        <v>281</v>
      </c>
      <c r="G221" s="6">
        <v>403</v>
      </c>
      <c r="H221" s="6">
        <v>3</v>
      </c>
      <c r="I221" s="6">
        <v>4</v>
      </c>
      <c r="J221" s="6">
        <v>2</v>
      </c>
      <c r="K221" s="6">
        <v>8</v>
      </c>
      <c r="L221" s="6" t="s">
        <v>23</v>
      </c>
      <c r="M221" s="8" t="s">
        <v>31</v>
      </c>
      <c r="N221" s="9" t="s">
        <v>61</v>
      </c>
      <c r="O221" s="9" t="s">
        <v>259</v>
      </c>
      <c r="P221" s="10">
        <v>6.76</v>
      </c>
      <c r="Q221" s="10">
        <v>13.3</v>
      </c>
      <c r="R221" s="10">
        <v>37.200000000000003</v>
      </c>
      <c r="S221" s="15">
        <f t="shared" si="14"/>
        <v>6.6601363636363642</v>
      </c>
      <c r="T221" s="10">
        <f t="shared" si="13"/>
        <v>5232.6726094261339</v>
      </c>
      <c r="U221" s="11">
        <f t="shared" si="12"/>
        <v>4667.8613821821</v>
      </c>
      <c r="V221" s="10">
        <v>65</v>
      </c>
      <c r="W221" s="10">
        <v>29.68</v>
      </c>
      <c r="X221" s="7">
        <v>0</v>
      </c>
    </row>
    <row r="222" spans="1:24" x14ac:dyDescent="0.25">
      <c r="A222" s="3">
        <v>2025</v>
      </c>
      <c r="B222" s="2" t="s">
        <v>260</v>
      </c>
      <c r="C222" s="6" t="s">
        <v>28</v>
      </c>
      <c r="D222" s="6" t="s">
        <v>29</v>
      </c>
      <c r="E222" s="6" t="s">
        <v>24</v>
      </c>
      <c r="F222" s="6" t="s">
        <v>282</v>
      </c>
      <c r="G222" s="6">
        <v>404</v>
      </c>
      <c r="H222" s="6">
        <v>4</v>
      </c>
      <c r="I222" s="6">
        <v>4</v>
      </c>
      <c r="J222" s="6">
        <v>3</v>
      </c>
      <c r="K222" s="6">
        <v>7</v>
      </c>
      <c r="L222" s="6" t="s">
        <v>23</v>
      </c>
      <c r="M222" s="8" t="s">
        <v>31</v>
      </c>
      <c r="N222" s="9" t="s">
        <v>59</v>
      </c>
      <c r="O222" s="9" t="s">
        <v>259</v>
      </c>
      <c r="P222" s="10">
        <v>6.39</v>
      </c>
      <c r="Q222" s="10">
        <v>13</v>
      </c>
      <c r="R222" s="10">
        <v>38.799999999999997</v>
      </c>
      <c r="S222" s="15">
        <f t="shared" si="14"/>
        <v>6.3173863636363627</v>
      </c>
      <c r="T222" s="10">
        <f t="shared" si="13"/>
        <v>4963.3840485082037</v>
      </c>
      <c r="U222" s="11">
        <f t="shared" si="12"/>
        <v>4427.63965076557</v>
      </c>
      <c r="V222" s="10">
        <v>66.040000000000006</v>
      </c>
      <c r="W222" s="10">
        <v>33.270000000000003</v>
      </c>
      <c r="X222" s="7">
        <v>0</v>
      </c>
    </row>
    <row r="223" spans="1:24" x14ac:dyDescent="0.25">
      <c r="A223" s="3">
        <v>2025</v>
      </c>
      <c r="B223" s="2" t="s">
        <v>260</v>
      </c>
      <c r="C223" s="6" t="s">
        <v>28</v>
      </c>
      <c r="D223" s="6" t="s">
        <v>29</v>
      </c>
      <c r="E223" s="6" t="s">
        <v>24</v>
      </c>
      <c r="F223" s="6" t="s">
        <v>283</v>
      </c>
      <c r="G223" s="6">
        <v>405</v>
      </c>
      <c r="H223" s="6">
        <v>5</v>
      </c>
      <c r="I223" s="6">
        <v>4</v>
      </c>
      <c r="J223" s="6">
        <v>3</v>
      </c>
      <c r="K223" s="6">
        <v>11</v>
      </c>
      <c r="L223" s="6" t="s">
        <v>23</v>
      </c>
      <c r="M223" s="8" t="s">
        <v>472</v>
      </c>
      <c r="N223" s="9" t="s">
        <v>60</v>
      </c>
      <c r="O223" s="9" t="s">
        <v>257</v>
      </c>
      <c r="P223" s="10">
        <v>7.64</v>
      </c>
      <c r="Q223" s="10">
        <v>12.9</v>
      </c>
      <c r="R223" s="10">
        <v>38.299999999999997</v>
      </c>
      <c r="S223" s="15">
        <f t="shared" si="14"/>
        <v>7.5618636363636362</v>
      </c>
      <c r="T223" s="10">
        <f t="shared" si="13"/>
        <v>5941.1331188737686</v>
      </c>
      <c r="U223" s="11">
        <f t="shared" si="12"/>
        <v>5299.8511319123718</v>
      </c>
      <c r="V223" s="10">
        <v>66.33</v>
      </c>
      <c r="W223" s="10">
        <v>31.58</v>
      </c>
      <c r="X223" s="7">
        <v>0</v>
      </c>
    </row>
    <row r="224" spans="1:24" x14ac:dyDescent="0.25">
      <c r="A224" s="3">
        <v>2025</v>
      </c>
      <c r="B224" s="2" t="s">
        <v>260</v>
      </c>
      <c r="C224" s="6" t="s">
        <v>28</v>
      </c>
      <c r="D224" s="6" t="s">
        <v>29</v>
      </c>
      <c r="E224" s="6" t="s">
        <v>24</v>
      </c>
      <c r="F224" s="6" t="s">
        <v>284</v>
      </c>
      <c r="G224" s="6">
        <v>406</v>
      </c>
      <c r="H224" s="6">
        <v>6</v>
      </c>
      <c r="I224" s="6">
        <v>4</v>
      </c>
      <c r="J224" s="6">
        <v>4</v>
      </c>
      <c r="K224" s="6">
        <v>10</v>
      </c>
      <c r="L224" s="6" t="s">
        <v>23</v>
      </c>
      <c r="M224" s="8" t="s">
        <v>472</v>
      </c>
      <c r="N224" s="9" t="s">
        <v>58</v>
      </c>
      <c r="O224" s="9" t="s">
        <v>257</v>
      </c>
      <c r="P224" s="10">
        <v>7.11</v>
      </c>
      <c r="Q224" s="10">
        <v>13</v>
      </c>
      <c r="R224" s="10">
        <v>36.9</v>
      </c>
      <c r="S224" s="15">
        <f t="shared" si="14"/>
        <v>7.0292045454545464</v>
      </c>
      <c r="T224" s="10">
        <f t="shared" si="13"/>
        <v>5522.638589185186</v>
      </c>
      <c r="U224" s="11">
        <f t="shared" si="12"/>
        <v>4926.52862549972</v>
      </c>
      <c r="V224" s="10">
        <v>65.400000000000006</v>
      </c>
      <c r="W224" s="10">
        <v>31.43</v>
      </c>
      <c r="X224" s="7">
        <v>0</v>
      </c>
    </row>
    <row r="225" spans="1:24" x14ac:dyDescent="0.25">
      <c r="A225" s="3">
        <v>2025</v>
      </c>
      <c r="B225" s="2" t="s">
        <v>260</v>
      </c>
      <c r="C225" s="6" t="s">
        <v>28</v>
      </c>
      <c r="D225" s="6" t="s">
        <v>29</v>
      </c>
      <c r="E225" s="6" t="s">
        <v>24</v>
      </c>
      <c r="F225" s="6" t="s">
        <v>285</v>
      </c>
      <c r="G225" s="6">
        <v>501</v>
      </c>
      <c r="H225" s="6">
        <v>1</v>
      </c>
      <c r="I225" s="6">
        <v>5</v>
      </c>
      <c r="J225" s="6">
        <v>1</v>
      </c>
      <c r="K225" s="6">
        <v>20</v>
      </c>
      <c r="L225" s="6" t="s">
        <v>23</v>
      </c>
      <c r="M225" s="8" t="s">
        <v>254</v>
      </c>
      <c r="N225" s="9" t="s">
        <v>61</v>
      </c>
      <c r="O225" s="9" t="s">
        <v>258</v>
      </c>
      <c r="P225" s="10">
        <v>6.31</v>
      </c>
      <c r="Q225" s="10">
        <v>13.4</v>
      </c>
      <c r="R225" s="10">
        <v>38.799999999999997</v>
      </c>
      <c r="S225" s="15">
        <f t="shared" si="14"/>
        <v>6.2096136363636365</v>
      </c>
      <c r="T225" s="10">
        <f t="shared" si="13"/>
        <v>4878.7101969152855</v>
      </c>
      <c r="U225" s="11">
        <f t="shared" si="12"/>
        <v>4352.1054388182747</v>
      </c>
      <c r="V225" s="10">
        <v>65.53</v>
      </c>
      <c r="W225" s="10">
        <v>31.85</v>
      </c>
      <c r="X225" s="7">
        <v>0</v>
      </c>
    </row>
    <row r="226" spans="1:24" x14ac:dyDescent="0.25">
      <c r="A226" s="3">
        <v>2025</v>
      </c>
      <c r="B226" s="2" t="s">
        <v>260</v>
      </c>
      <c r="C226" s="6" t="s">
        <v>28</v>
      </c>
      <c r="D226" s="6" t="s">
        <v>29</v>
      </c>
      <c r="E226" s="6" t="s">
        <v>24</v>
      </c>
      <c r="F226" s="6" t="s">
        <v>286</v>
      </c>
      <c r="G226" s="6">
        <v>502</v>
      </c>
      <c r="H226" s="6">
        <v>2</v>
      </c>
      <c r="I226" s="6">
        <v>5</v>
      </c>
      <c r="J226" s="6">
        <v>1</v>
      </c>
      <c r="K226" s="6">
        <v>11</v>
      </c>
      <c r="L226" s="6" t="s">
        <v>23</v>
      </c>
      <c r="M226" s="8" t="s">
        <v>472</v>
      </c>
      <c r="N226" s="9" t="s">
        <v>60</v>
      </c>
      <c r="O226" s="9" t="s">
        <v>257</v>
      </c>
      <c r="P226" s="10">
        <v>6.74</v>
      </c>
      <c r="Q226" s="10">
        <v>12</v>
      </c>
      <c r="R226" s="10">
        <v>37.1</v>
      </c>
      <c r="S226" s="15">
        <f t="shared" si="14"/>
        <v>6.74</v>
      </c>
      <c r="T226" s="10">
        <f t="shared" si="13"/>
        <v>5295.4191118507488</v>
      </c>
      <c r="U226" s="11">
        <f t="shared" si="12"/>
        <v>4723.8350685555297</v>
      </c>
      <c r="V226" s="10">
        <v>64.319999999999993</v>
      </c>
      <c r="W226" s="10">
        <v>27.81</v>
      </c>
      <c r="X226" s="7">
        <v>0</v>
      </c>
    </row>
    <row r="227" spans="1:24" x14ac:dyDescent="0.25">
      <c r="A227" s="3">
        <v>2025</v>
      </c>
      <c r="B227" s="2" t="s">
        <v>260</v>
      </c>
      <c r="C227" s="6" t="s">
        <v>28</v>
      </c>
      <c r="D227" s="6" t="s">
        <v>29</v>
      </c>
      <c r="E227" s="6" t="s">
        <v>24</v>
      </c>
      <c r="F227" s="6" t="s">
        <v>287</v>
      </c>
      <c r="G227" s="6">
        <v>503</v>
      </c>
      <c r="H227" s="6">
        <v>3</v>
      </c>
      <c r="I227" s="6">
        <v>5</v>
      </c>
      <c r="J227" s="6">
        <v>2</v>
      </c>
      <c r="K227" s="6">
        <v>15</v>
      </c>
      <c r="L227" s="6" t="s">
        <v>23</v>
      </c>
      <c r="M227" s="8" t="s">
        <v>254</v>
      </c>
      <c r="N227" s="8" t="s">
        <v>470</v>
      </c>
      <c r="O227" s="9" t="s">
        <v>258</v>
      </c>
      <c r="P227" s="10">
        <v>6.24</v>
      </c>
      <c r="Q227" s="10">
        <v>13.5</v>
      </c>
      <c r="R227" s="10">
        <v>35.700000000000003</v>
      </c>
      <c r="S227" s="15">
        <f t="shared" si="14"/>
        <v>6.1336363636363629</v>
      </c>
      <c r="T227" s="10">
        <f t="shared" si="13"/>
        <v>4819.0170957185046</v>
      </c>
      <c r="U227" s="11">
        <f t="shared" si="12"/>
        <v>4298.8555715597722</v>
      </c>
      <c r="V227" s="10">
        <v>63.84</v>
      </c>
      <c r="W227" s="10">
        <v>27.18</v>
      </c>
      <c r="X227" s="7">
        <v>0</v>
      </c>
    </row>
    <row r="228" spans="1:24" x14ac:dyDescent="0.25">
      <c r="A228" s="3">
        <v>2025</v>
      </c>
      <c r="B228" s="2" t="s">
        <v>260</v>
      </c>
      <c r="C228" s="6" t="s">
        <v>28</v>
      </c>
      <c r="D228" s="6" t="s">
        <v>29</v>
      </c>
      <c r="E228" s="6" t="s">
        <v>24</v>
      </c>
      <c r="F228" s="6" t="s">
        <v>288</v>
      </c>
      <c r="G228" s="6">
        <v>504</v>
      </c>
      <c r="H228" s="6">
        <v>4</v>
      </c>
      <c r="I228" s="6">
        <v>5</v>
      </c>
      <c r="J228" s="6">
        <v>3</v>
      </c>
      <c r="K228" s="6">
        <v>15</v>
      </c>
      <c r="L228" s="6" t="s">
        <v>23</v>
      </c>
      <c r="M228" s="8" t="s">
        <v>254</v>
      </c>
      <c r="N228" s="8" t="s">
        <v>470</v>
      </c>
      <c r="O228" s="9" t="s">
        <v>258</v>
      </c>
      <c r="P228" s="10">
        <v>8.41</v>
      </c>
      <c r="Q228" s="10">
        <v>13.4</v>
      </c>
      <c r="R228" s="10">
        <v>39.9</v>
      </c>
      <c r="S228" s="15">
        <f t="shared" si="14"/>
        <v>8.2762045454545454</v>
      </c>
      <c r="T228" s="10">
        <f t="shared" si="13"/>
        <v>6502.3696919267113</v>
      </c>
      <c r="U228" s="11">
        <f t="shared" si="12"/>
        <v>5800.5081997562102</v>
      </c>
      <c r="V228" s="10">
        <v>65.34</v>
      </c>
      <c r="W228" s="10">
        <v>31.28</v>
      </c>
      <c r="X228" s="7">
        <v>0</v>
      </c>
    </row>
    <row r="229" spans="1:24" x14ac:dyDescent="0.25">
      <c r="A229" s="3">
        <v>2025</v>
      </c>
      <c r="B229" s="2" t="s">
        <v>260</v>
      </c>
      <c r="C229" s="6" t="s">
        <v>28</v>
      </c>
      <c r="D229" s="6" t="s">
        <v>29</v>
      </c>
      <c r="E229" s="6" t="s">
        <v>24</v>
      </c>
      <c r="F229" s="6" t="s">
        <v>289</v>
      </c>
      <c r="G229" s="6">
        <v>505</v>
      </c>
      <c r="H229" s="6">
        <v>5</v>
      </c>
      <c r="I229" s="6">
        <v>5</v>
      </c>
      <c r="J229" s="6">
        <v>3</v>
      </c>
      <c r="K229" s="6">
        <v>6</v>
      </c>
      <c r="L229" s="6" t="s">
        <v>23</v>
      </c>
      <c r="M229" s="8" t="s">
        <v>31</v>
      </c>
      <c r="N229" s="9" t="s">
        <v>62</v>
      </c>
      <c r="O229" s="9" t="s">
        <v>259</v>
      </c>
      <c r="P229" s="10">
        <v>6.75</v>
      </c>
      <c r="Q229" s="10">
        <v>12.7</v>
      </c>
      <c r="R229" s="10">
        <v>37.4</v>
      </c>
      <c r="S229" s="15">
        <f t="shared" si="14"/>
        <v>6.6963068181818182</v>
      </c>
      <c r="T229" s="10">
        <f t="shared" si="13"/>
        <v>5261.0906682220284</v>
      </c>
      <c r="U229" s="11">
        <f t="shared" si="12"/>
        <v>4693.2120144710334</v>
      </c>
      <c r="V229" s="10">
        <v>65.900000000000006</v>
      </c>
      <c r="W229" s="10">
        <v>35.19</v>
      </c>
      <c r="X229" s="7">
        <v>0</v>
      </c>
    </row>
    <row r="230" spans="1:24" x14ac:dyDescent="0.25">
      <c r="A230" s="3">
        <v>2025</v>
      </c>
      <c r="B230" s="2" t="s">
        <v>260</v>
      </c>
      <c r="C230" s="6" t="s">
        <v>28</v>
      </c>
      <c r="D230" s="6" t="s">
        <v>29</v>
      </c>
      <c r="E230" s="6" t="s">
        <v>24</v>
      </c>
      <c r="F230" s="6" t="s">
        <v>290</v>
      </c>
      <c r="G230" s="6">
        <v>506</v>
      </c>
      <c r="H230" s="6">
        <v>6</v>
      </c>
      <c r="I230" s="6">
        <v>5</v>
      </c>
      <c r="J230" s="6">
        <v>4</v>
      </c>
      <c r="K230" s="6">
        <v>13</v>
      </c>
      <c r="L230" s="6" t="s">
        <v>23</v>
      </c>
      <c r="M230" s="8" t="s">
        <v>472</v>
      </c>
      <c r="N230" s="9" t="s">
        <v>59</v>
      </c>
      <c r="O230" s="9" t="s">
        <v>257</v>
      </c>
      <c r="P230" s="10">
        <v>7.66</v>
      </c>
      <c r="Q230" s="10">
        <v>13</v>
      </c>
      <c r="R230" s="10">
        <v>38</v>
      </c>
      <c r="S230" s="15">
        <f t="shared" si="14"/>
        <v>7.5729545454545457</v>
      </c>
      <c r="T230" s="10">
        <f t="shared" si="13"/>
        <v>5949.8469188689905</v>
      </c>
      <c r="U230" s="11">
        <f t="shared" si="12"/>
        <v>5307.624370088306</v>
      </c>
      <c r="V230" s="10">
        <v>66.849999999999994</v>
      </c>
      <c r="W230" s="10">
        <v>35.520000000000003</v>
      </c>
      <c r="X230" s="7">
        <v>0</v>
      </c>
    </row>
    <row r="231" spans="1:24" x14ac:dyDescent="0.25">
      <c r="A231" s="3">
        <v>2025</v>
      </c>
      <c r="B231" s="2" t="s">
        <v>260</v>
      </c>
      <c r="C231" s="6" t="s">
        <v>28</v>
      </c>
      <c r="D231" s="6" t="s">
        <v>29</v>
      </c>
      <c r="E231" s="6" t="s">
        <v>24</v>
      </c>
      <c r="F231" s="6" t="s">
        <v>291</v>
      </c>
      <c r="G231" s="6">
        <v>601</v>
      </c>
      <c r="H231" s="6">
        <v>1</v>
      </c>
      <c r="I231" s="6">
        <v>6</v>
      </c>
      <c r="J231" s="6">
        <v>1</v>
      </c>
      <c r="K231" s="6">
        <v>1</v>
      </c>
      <c r="L231" s="6" t="s">
        <v>23</v>
      </c>
      <c r="M231" s="8" t="s">
        <v>471</v>
      </c>
      <c r="N231" s="8" t="s">
        <v>471</v>
      </c>
      <c r="O231" s="8" t="s">
        <v>471</v>
      </c>
      <c r="P231" s="10">
        <v>5.32</v>
      </c>
      <c r="Q231" s="10">
        <v>13.5</v>
      </c>
      <c r="R231" s="10">
        <v>39.9</v>
      </c>
      <c r="S231" s="15">
        <f t="shared" si="14"/>
        <v>5.229318181818182</v>
      </c>
      <c r="T231" s="10">
        <f t="shared" si="13"/>
        <v>4108.5209854523155</v>
      </c>
      <c r="U231" s="11">
        <f t="shared" si="12"/>
        <v>3665.04994241955</v>
      </c>
      <c r="V231" s="10">
        <v>68.61</v>
      </c>
      <c r="W231" s="10">
        <v>38.67</v>
      </c>
      <c r="X231" s="7">
        <v>0</v>
      </c>
    </row>
    <row r="232" spans="1:24" x14ac:dyDescent="0.25">
      <c r="A232" s="3">
        <v>2025</v>
      </c>
      <c r="B232" s="2" t="s">
        <v>260</v>
      </c>
      <c r="C232" s="6" t="s">
        <v>28</v>
      </c>
      <c r="D232" s="6" t="s">
        <v>29</v>
      </c>
      <c r="E232" s="6" t="s">
        <v>24</v>
      </c>
      <c r="F232" s="6" t="s">
        <v>292</v>
      </c>
      <c r="G232" s="6">
        <v>602</v>
      </c>
      <c r="H232" s="6">
        <v>2</v>
      </c>
      <c r="I232" s="6">
        <v>6</v>
      </c>
      <c r="J232" s="6">
        <v>1</v>
      </c>
      <c r="K232" s="6">
        <v>18</v>
      </c>
      <c r="L232" s="6" t="s">
        <v>23</v>
      </c>
      <c r="M232" s="8" t="s">
        <v>254</v>
      </c>
      <c r="N232" s="9" t="s">
        <v>62</v>
      </c>
      <c r="O232" s="9" t="s">
        <v>258</v>
      </c>
      <c r="P232" s="10">
        <v>6.51</v>
      </c>
      <c r="Q232" s="10">
        <v>12.8</v>
      </c>
      <c r="R232" s="10">
        <v>38</v>
      </c>
      <c r="S232" s="15">
        <f t="shared" si="14"/>
        <v>6.4508181818181809</v>
      </c>
      <c r="T232" s="10">
        <f t="shared" si="13"/>
        <v>5068.217490663842</v>
      </c>
      <c r="U232" s="11">
        <f t="shared" si="12"/>
        <v>4521.1574403780924</v>
      </c>
      <c r="V232" s="10">
        <v>66.37</v>
      </c>
      <c r="W232" s="10">
        <v>32.340000000000003</v>
      </c>
      <c r="X232" s="7">
        <v>0</v>
      </c>
    </row>
    <row r="233" spans="1:24" x14ac:dyDescent="0.25">
      <c r="A233" s="3">
        <v>2025</v>
      </c>
      <c r="B233" s="2" t="s">
        <v>260</v>
      </c>
      <c r="C233" s="6" t="s">
        <v>28</v>
      </c>
      <c r="D233" s="6" t="s">
        <v>29</v>
      </c>
      <c r="E233" s="6" t="s">
        <v>24</v>
      </c>
      <c r="F233" s="6" t="s">
        <v>293</v>
      </c>
      <c r="G233" s="6">
        <v>603</v>
      </c>
      <c r="H233" s="6">
        <v>3</v>
      </c>
      <c r="I233" s="6">
        <v>6</v>
      </c>
      <c r="J233" s="6">
        <v>2</v>
      </c>
      <c r="K233" s="6">
        <v>10</v>
      </c>
      <c r="L233" s="6" t="s">
        <v>23</v>
      </c>
      <c r="M233" s="8" t="s">
        <v>472</v>
      </c>
      <c r="N233" s="9" t="s">
        <v>58</v>
      </c>
      <c r="O233" s="9" t="s">
        <v>257</v>
      </c>
      <c r="P233" s="10">
        <v>6.08</v>
      </c>
      <c r="Q233" s="10">
        <v>13.3</v>
      </c>
      <c r="R233" s="10">
        <v>37.200000000000003</v>
      </c>
      <c r="S233" s="15">
        <f t="shared" si="14"/>
        <v>5.9901818181818181</v>
      </c>
      <c r="T233" s="10">
        <f t="shared" si="13"/>
        <v>4706.3090925016113</v>
      </c>
      <c r="U233" s="11">
        <f t="shared" si="12"/>
        <v>4198.3131958087524</v>
      </c>
      <c r="V233" s="10">
        <v>66.17</v>
      </c>
      <c r="W233" s="10">
        <v>29.54</v>
      </c>
      <c r="X233" s="7">
        <v>0</v>
      </c>
    </row>
    <row r="234" spans="1:24" x14ac:dyDescent="0.25">
      <c r="A234" s="3">
        <v>2025</v>
      </c>
      <c r="B234" s="2" t="s">
        <v>260</v>
      </c>
      <c r="C234" s="6" t="s">
        <v>28</v>
      </c>
      <c r="D234" s="6" t="s">
        <v>29</v>
      </c>
      <c r="E234" s="6" t="s">
        <v>24</v>
      </c>
      <c r="F234" s="6" t="s">
        <v>294</v>
      </c>
      <c r="G234" s="6">
        <v>604</v>
      </c>
      <c r="H234" s="6">
        <v>4</v>
      </c>
      <c r="I234" s="6">
        <v>6</v>
      </c>
      <c r="J234" s="6">
        <v>3</v>
      </c>
      <c r="K234" s="6">
        <v>21</v>
      </c>
      <c r="L234" s="6" t="s">
        <v>23</v>
      </c>
      <c r="M234" s="8" t="s">
        <v>471</v>
      </c>
      <c r="N234" s="8" t="s">
        <v>471</v>
      </c>
      <c r="O234" s="8" t="s">
        <v>471</v>
      </c>
      <c r="P234" s="10">
        <v>7.53</v>
      </c>
      <c r="Q234" s="10">
        <v>13.4</v>
      </c>
      <c r="R234" s="10">
        <v>37.9</v>
      </c>
      <c r="S234" s="15">
        <f t="shared" si="14"/>
        <v>7.4102045454545449</v>
      </c>
      <c r="T234" s="10">
        <f t="shared" si="13"/>
        <v>5821.9790463981126</v>
      </c>
      <c r="U234" s="11">
        <f t="shared" si="12"/>
        <v>5193.5584713631688</v>
      </c>
      <c r="V234" s="10">
        <v>66.069999999999993</v>
      </c>
      <c r="W234" s="10">
        <v>31.35</v>
      </c>
      <c r="X234" s="7">
        <v>0</v>
      </c>
    </row>
    <row r="235" spans="1:24" x14ac:dyDescent="0.25">
      <c r="A235" s="3">
        <v>2025</v>
      </c>
      <c r="B235" s="2" t="s">
        <v>260</v>
      </c>
      <c r="C235" s="6" t="s">
        <v>28</v>
      </c>
      <c r="D235" s="6" t="s">
        <v>29</v>
      </c>
      <c r="E235" s="6" t="s">
        <v>24</v>
      </c>
      <c r="F235" s="6" t="s">
        <v>295</v>
      </c>
      <c r="G235" s="6">
        <v>605</v>
      </c>
      <c r="H235" s="6">
        <v>5</v>
      </c>
      <c r="I235" s="6">
        <v>6</v>
      </c>
      <c r="J235" s="6">
        <v>3</v>
      </c>
      <c r="K235" s="6">
        <v>14</v>
      </c>
      <c r="L235" s="6" t="s">
        <v>23</v>
      </c>
      <c r="M235" s="8" t="s">
        <v>472</v>
      </c>
      <c r="N235" s="9" t="s">
        <v>61</v>
      </c>
      <c r="O235" s="8" t="s">
        <v>471</v>
      </c>
      <c r="P235" s="10">
        <v>7.32</v>
      </c>
      <c r="Q235" s="10">
        <v>12.9</v>
      </c>
      <c r="R235" s="10">
        <v>37.6</v>
      </c>
      <c r="S235" s="15">
        <f t="shared" si="14"/>
        <v>7.2451363636363642</v>
      </c>
      <c r="T235" s="10">
        <f t="shared" si="13"/>
        <v>5692.2898468790563</v>
      </c>
      <c r="U235" s="11">
        <f t="shared" si="12"/>
        <v>5077.8678384291316</v>
      </c>
      <c r="V235" s="10">
        <v>66.31</v>
      </c>
      <c r="W235" s="10">
        <v>37.35</v>
      </c>
      <c r="X235" s="7">
        <v>0</v>
      </c>
    </row>
    <row r="236" spans="1:24" x14ac:dyDescent="0.25">
      <c r="A236" s="3">
        <v>2025</v>
      </c>
      <c r="B236" s="2" t="s">
        <v>260</v>
      </c>
      <c r="C236" s="6" t="s">
        <v>28</v>
      </c>
      <c r="D236" s="6" t="s">
        <v>29</v>
      </c>
      <c r="E236" s="6" t="s">
        <v>24</v>
      </c>
      <c r="F236" s="6" t="s">
        <v>296</v>
      </c>
      <c r="G236" s="6">
        <v>606</v>
      </c>
      <c r="H236" s="6">
        <v>6</v>
      </c>
      <c r="I236" s="6">
        <v>6</v>
      </c>
      <c r="J236" s="6">
        <v>4</v>
      </c>
      <c r="K236" s="6">
        <v>8</v>
      </c>
      <c r="L236" s="6" t="s">
        <v>23</v>
      </c>
      <c r="M236" s="8" t="s">
        <v>31</v>
      </c>
      <c r="N236" s="9" t="s">
        <v>61</v>
      </c>
      <c r="O236" s="8" t="s">
        <v>471</v>
      </c>
      <c r="P236" s="10">
        <v>7.77</v>
      </c>
      <c r="Q236" s="10">
        <v>12.6</v>
      </c>
      <c r="R236" s="10">
        <v>38.799999999999997</v>
      </c>
      <c r="S236" s="15">
        <f t="shared" si="14"/>
        <v>7.7170227272727265</v>
      </c>
      <c r="T236" s="10">
        <f t="shared" si="13"/>
        <v>6063.0370380692266</v>
      </c>
      <c r="U236" s="11">
        <f t="shared" si="12"/>
        <v>5408.5968225416827</v>
      </c>
      <c r="V236" s="10">
        <v>66.180000000000007</v>
      </c>
      <c r="W236" s="10">
        <v>36.47</v>
      </c>
      <c r="X236" s="7">
        <v>0</v>
      </c>
    </row>
    <row r="237" spans="1:24" x14ac:dyDescent="0.25">
      <c r="A237" s="3">
        <v>2025</v>
      </c>
      <c r="B237" s="2" t="s">
        <v>260</v>
      </c>
      <c r="C237" s="6" t="s">
        <v>28</v>
      </c>
      <c r="D237" s="6" t="s">
        <v>29</v>
      </c>
      <c r="E237" s="6" t="s">
        <v>24</v>
      </c>
      <c r="F237" s="6" t="s">
        <v>297</v>
      </c>
      <c r="G237" s="6">
        <v>701</v>
      </c>
      <c r="H237" s="6">
        <v>1</v>
      </c>
      <c r="I237" s="6">
        <v>7</v>
      </c>
      <c r="J237" s="6">
        <v>1</v>
      </c>
      <c r="K237" s="6">
        <v>9</v>
      </c>
      <c r="L237" s="6" t="s">
        <v>23</v>
      </c>
      <c r="M237" s="8" t="s">
        <v>472</v>
      </c>
      <c r="N237" s="8" t="s">
        <v>470</v>
      </c>
      <c r="O237" s="9" t="s">
        <v>257</v>
      </c>
      <c r="P237" s="10">
        <v>6.29</v>
      </c>
      <c r="Q237" s="10">
        <v>13.1</v>
      </c>
      <c r="R237" s="10">
        <v>37.799999999999997</v>
      </c>
      <c r="S237" s="15">
        <f t="shared" si="14"/>
        <v>6.2113749999999994</v>
      </c>
      <c r="T237" s="10">
        <f t="shared" si="13"/>
        <v>4880.094048348953</v>
      </c>
      <c r="U237" s="11">
        <f t="shared" si="12"/>
        <v>4353.339918241707</v>
      </c>
      <c r="V237" s="10">
        <v>62.96</v>
      </c>
      <c r="W237" s="10">
        <v>26.04</v>
      </c>
      <c r="X237" s="7">
        <v>0</v>
      </c>
    </row>
    <row r="238" spans="1:24" x14ac:dyDescent="0.25">
      <c r="A238" s="3">
        <v>2025</v>
      </c>
      <c r="B238" s="2" t="s">
        <v>260</v>
      </c>
      <c r="C238" s="6" t="s">
        <v>28</v>
      </c>
      <c r="D238" s="6" t="s">
        <v>29</v>
      </c>
      <c r="E238" s="6" t="s">
        <v>24</v>
      </c>
      <c r="F238" s="6" t="s">
        <v>298</v>
      </c>
      <c r="G238" s="6">
        <v>702</v>
      </c>
      <c r="H238" s="6">
        <v>2</v>
      </c>
      <c r="I238" s="6">
        <v>7</v>
      </c>
      <c r="J238" s="6">
        <v>1</v>
      </c>
      <c r="K238" s="6">
        <v>7</v>
      </c>
      <c r="L238" s="6" t="s">
        <v>23</v>
      </c>
      <c r="M238" s="8" t="s">
        <v>31</v>
      </c>
      <c r="N238" s="9" t="s">
        <v>59</v>
      </c>
      <c r="O238" s="9" t="s">
        <v>259</v>
      </c>
      <c r="P238" s="10">
        <v>4.83</v>
      </c>
      <c r="Q238" s="10">
        <v>11.8</v>
      </c>
      <c r="R238" s="10">
        <v>36.200000000000003</v>
      </c>
      <c r="S238" s="15">
        <f t="shared" si="14"/>
        <v>4.8409772727272733</v>
      </c>
      <c r="T238" s="10">
        <f t="shared" si="13"/>
        <v>3803.4129925868124</v>
      </c>
      <c r="U238" s="11">
        <f t="shared" si="12"/>
        <v>3392.8751048945696</v>
      </c>
      <c r="V238" s="10">
        <v>65.61</v>
      </c>
      <c r="W238" s="10">
        <v>31.74</v>
      </c>
      <c r="X238" s="7">
        <v>0</v>
      </c>
    </row>
    <row r="239" spans="1:24" x14ac:dyDescent="0.25">
      <c r="A239" s="3">
        <v>2025</v>
      </c>
      <c r="B239" s="2" t="s">
        <v>260</v>
      </c>
      <c r="C239" s="6" t="s">
        <v>28</v>
      </c>
      <c r="D239" s="6" t="s">
        <v>29</v>
      </c>
      <c r="E239" s="6" t="s">
        <v>24</v>
      </c>
      <c r="F239" s="6" t="s">
        <v>299</v>
      </c>
      <c r="G239" s="6">
        <v>703</v>
      </c>
      <c r="H239" s="6">
        <v>3</v>
      </c>
      <c r="I239" s="6">
        <v>7</v>
      </c>
      <c r="J239" s="6">
        <v>2</v>
      </c>
      <c r="K239" s="6">
        <v>5</v>
      </c>
      <c r="L239" s="6" t="s">
        <v>23</v>
      </c>
      <c r="M239" s="8" t="s">
        <v>31</v>
      </c>
      <c r="N239" s="9" t="s">
        <v>60</v>
      </c>
      <c r="O239" s="9" t="s">
        <v>259</v>
      </c>
      <c r="P239" s="10">
        <v>6.53</v>
      </c>
      <c r="Q239" s="10">
        <v>12.8</v>
      </c>
      <c r="R239" s="10">
        <v>35.4</v>
      </c>
      <c r="S239" s="15">
        <f t="shared" si="14"/>
        <v>6.4706363636363635</v>
      </c>
      <c r="T239" s="10">
        <f t="shared" si="13"/>
        <v>5083.7880513110422</v>
      </c>
      <c r="U239" s="11">
        <f t="shared" si="12"/>
        <v>4535.0473249875486</v>
      </c>
      <c r="V239" s="10">
        <v>65.459999999999994</v>
      </c>
      <c r="W239" s="10">
        <v>29.76</v>
      </c>
      <c r="X239" s="7">
        <v>0</v>
      </c>
    </row>
    <row r="240" spans="1:24" x14ac:dyDescent="0.25">
      <c r="A240" s="3">
        <v>2025</v>
      </c>
      <c r="B240" s="2" t="s">
        <v>260</v>
      </c>
      <c r="C240" s="6" t="s">
        <v>28</v>
      </c>
      <c r="D240" s="6" t="s">
        <v>29</v>
      </c>
      <c r="E240" s="6" t="s">
        <v>24</v>
      </c>
      <c r="F240" s="6" t="s">
        <v>300</v>
      </c>
      <c r="G240" s="6">
        <v>704</v>
      </c>
      <c r="H240" s="6">
        <v>4</v>
      </c>
      <c r="I240" s="6">
        <v>7</v>
      </c>
      <c r="J240" s="6">
        <v>3</v>
      </c>
      <c r="K240" s="6">
        <v>3</v>
      </c>
      <c r="L240" s="6" t="s">
        <v>23</v>
      </c>
      <c r="M240" s="8" t="s">
        <v>31</v>
      </c>
      <c r="N240" s="8" t="s">
        <v>470</v>
      </c>
      <c r="O240" s="9" t="s">
        <v>259</v>
      </c>
      <c r="P240" s="10">
        <v>6.24</v>
      </c>
      <c r="Q240" s="10">
        <v>12.9</v>
      </c>
      <c r="R240" s="10">
        <v>38.1</v>
      </c>
      <c r="S240" s="15">
        <f t="shared" si="14"/>
        <v>6.176181818181818</v>
      </c>
      <c r="T240" s="10">
        <f t="shared" si="13"/>
        <v>4852.4438038969001</v>
      </c>
      <c r="U240" s="11">
        <f t="shared" si="12"/>
        <v>4328.6742229231941</v>
      </c>
      <c r="V240" s="10">
        <v>64.84</v>
      </c>
      <c r="W240" s="10">
        <v>29.88</v>
      </c>
      <c r="X240" s="7">
        <v>0</v>
      </c>
    </row>
    <row r="241" spans="1:24" x14ac:dyDescent="0.25">
      <c r="A241" s="3">
        <v>2025</v>
      </c>
      <c r="B241" s="2" t="s">
        <v>260</v>
      </c>
      <c r="C241" s="6" t="s">
        <v>28</v>
      </c>
      <c r="D241" s="6" t="s">
        <v>29</v>
      </c>
      <c r="E241" s="6" t="s">
        <v>24</v>
      </c>
      <c r="F241" s="6" t="s">
        <v>301</v>
      </c>
      <c r="G241" s="6">
        <v>705</v>
      </c>
      <c r="H241" s="6">
        <v>5</v>
      </c>
      <c r="I241" s="6">
        <v>7</v>
      </c>
      <c r="J241" s="6">
        <v>3</v>
      </c>
      <c r="K241" s="6">
        <v>18</v>
      </c>
      <c r="L241" s="6" t="s">
        <v>23</v>
      </c>
      <c r="M241" s="8" t="s">
        <v>254</v>
      </c>
      <c r="N241" s="9" t="s">
        <v>62</v>
      </c>
      <c r="O241" s="9" t="s">
        <v>258</v>
      </c>
      <c r="P241" s="10">
        <v>7.28</v>
      </c>
      <c r="Q241" s="10">
        <v>13.4</v>
      </c>
      <c r="R241" s="10">
        <v>38.799999999999997</v>
      </c>
      <c r="S241" s="15">
        <f t="shared" si="14"/>
        <v>7.1641818181818184</v>
      </c>
      <c r="T241" s="10">
        <f t="shared" si="13"/>
        <v>5628.6862493729441</v>
      </c>
      <c r="U241" s="11">
        <f t="shared" si="12"/>
        <v>5021.1295712515112</v>
      </c>
      <c r="V241" s="10">
        <v>65.540000000000006</v>
      </c>
      <c r="W241" s="10">
        <v>33.49</v>
      </c>
      <c r="X241" s="7">
        <v>0</v>
      </c>
    </row>
    <row r="242" spans="1:24" x14ac:dyDescent="0.25">
      <c r="A242" s="3">
        <v>2025</v>
      </c>
      <c r="B242" s="2" t="s">
        <v>260</v>
      </c>
      <c r="C242" s="6" t="s">
        <v>28</v>
      </c>
      <c r="D242" s="6" t="s">
        <v>29</v>
      </c>
      <c r="E242" s="6" t="s">
        <v>24</v>
      </c>
      <c r="F242" s="6" t="s">
        <v>302</v>
      </c>
      <c r="G242" s="6">
        <v>706</v>
      </c>
      <c r="H242" s="6">
        <v>6</v>
      </c>
      <c r="I242" s="6">
        <v>7</v>
      </c>
      <c r="J242" s="6">
        <v>4</v>
      </c>
      <c r="K242" s="6">
        <v>17</v>
      </c>
      <c r="L242" s="6" t="s">
        <v>23</v>
      </c>
      <c r="M242" s="8" t="s">
        <v>254</v>
      </c>
      <c r="N242" s="9" t="s">
        <v>60</v>
      </c>
      <c r="O242" s="9" t="s">
        <v>258</v>
      </c>
      <c r="P242" s="10">
        <v>7.09</v>
      </c>
      <c r="Q242" s="10">
        <v>13.1</v>
      </c>
      <c r="R242" s="10">
        <v>38.200000000000003</v>
      </c>
      <c r="S242" s="15">
        <f t="shared" si="14"/>
        <v>7.0013749999999995</v>
      </c>
      <c r="T242" s="10">
        <f t="shared" si="13"/>
        <v>5500.7737365332387</v>
      </c>
      <c r="U242" s="11">
        <f t="shared" si="12"/>
        <v>4907.0238506094902</v>
      </c>
      <c r="V242" s="10">
        <v>65.11</v>
      </c>
      <c r="W242" s="10">
        <v>31.47</v>
      </c>
      <c r="X242" s="7">
        <v>0</v>
      </c>
    </row>
    <row r="243" spans="1:24" x14ac:dyDescent="0.25">
      <c r="A243" s="3">
        <v>2025</v>
      </c>
      <c r="B243" s="2" t="s">
        <v>260</v>
      </c>
      <c r="C243" s="6" t="s">
        <v>28</v>
      </c>
      <c r="D243" s="6" t="s">
        <v>29</v>
      </c>
      <c r="E243" s="6" t="s">
        <v>24</v>
      </c>
      <c r="F243" s="6" t="s">
        <v>303</v>
      </c>
      <c r="G243" s="6">
        <v>801</v>
      </c>
      <c r="H243" s="6">
        <v>1</v>
      </c>
      <c r="I243" s="6">
        <v>8</v>
      </c>
      <c r="J243" s="6">
        <v>1</v>
      </c>
      <c r="K243" s="6">
        <v>16</v>
      </c>
      <c r="L243" s="6" t="s">
        <v>23</v>
      </c>
      <c r="M243" s="8" t="s">
        <v>254</v>
      </c>
      <c r="N243" s="9" t="s">
        <v>58</v>
      </c>
      <c r="O243" s="9" t="s">
        <v>258</v>
      </c>
      <c r="P243" s="10">
        <v>7.03</v>
      </c>
      <c r="Q243" s="10">
        <v>12.9</v>
      </c>
      <c r="R243" s="10">
        <v>38.4</v>
      </c>
      <c r="S243" s="15">
        <f t="shared" si="14"/>
        <v>6.958102272727273</v>
      </c>
      <c r="T243" s="10">
        <f t="shared" si="13"/>
        <v>5466.7756316338473</v>
      </c>
      <c r="U243" s="11">
        <f t="shared" si="12"/>
        <v>4876.6954787099439</v>
      </c>
      <c r="V243" s="10">
        <v>66.989999999999995</v>
      </c>
      <c r="W243" s="10">
        <v>30.98</v>
      </c>
      <c r="X243" s="7">
        <v>0</v>
      </c>
    </row>
    <row r="244" spans="1:24" x14ac:dyDescent="0.25">
      <c r="A244" s="3">
        <v>2025</v>
      </c>
      <c r="B244" s="2" t="s">
        <v>260</v>
      </c>
      <c r="C244" s="6" t="s">
        <v>28</v>
      </c>
      <c r="D244" s="6" t="s">
        <v>29</v>
      </c>
      <c r="E244" s="6" t="s">
        <v>24</v>
      </c>
      <c r="F244" s="6" t="s">
        <v>304</v>
      </c>
      <c r="G244" s="6">
        <v>802</v>
      </c>
      <c r="H244" s="6">
        <v>2</v>
      </c>
      <c r="I244" s="6">
        <v>8</v>
      </c>
      <c r="J244" s="6">
        <v>2</v>
      </c>
      <c r="K244" s="6">
        <v>7</v>
      </c>
      <c r="L244" s="6" t="s">
        <v>23</v>
      </c>
      <c r="M244" s="8" t="s">
        <v>31</v>
      </c>
      <c r="N244" s="9" t="s">
        <v>59</v>
      </c>
      <c r="O244" s="9" t="s">
        <v>259</v>
      </c>
      <c r="P244" s="10">
        <v>5.68</v>
      </c>
      <c r="Q244" s="10">
        <v>12.2</v>
      </c>
      <c r="R244" s="10">
        <v>37.4</v>
      </c>
      <c r="S244" s="15">
        <f t="shared" si="14"/>
        <v>5.6670909090909083</v>
      </c>
      <c r="T244" s="10">
        <f t="shared" si="13"/>
        <v>4452.4660991981646</v>
      </c>
      <c r="U244" s="11">
        <f t="shared" si="12"/>
        <v>3971.869847634402</v>
      </c>
      <c r="V244" s="10">
        <v>65.819999999999993</v>
      </c>
      <c r="W244" s="10">
        <v>30.87</v>
      </c>
      <c r="X244" s="7">
        <v>0</v>
      </c>
    </row>
    <row r="245" spans="1:24" x14ac:dyDescent="0.25">
      <c r="A245" s="3">
        <v>2025</v>
      </c>
      <c r="B245" s="2" t="s">
        <v>260</v>
      </c>
      <c r="C245" s="6" t="s">
        <v>28</v>
      </c>
      <c r="D245" s="6" t="s">
        <v>29</v>
      </c>
      <c r="E245" s="6" t="s">
        <v>24</v>
      </c>
      <c r="F245" s="6" t="s">
        <v>305</v>
      </c>
      <c r="G245" s="6">
        <v>803</v>
      </c>
      <c r="H245" s="6">
        <v>3</v>
      </c>
      <c r="I245" s="6">
        <v>8</v>
      </c>
      <c r="J245" s="6">
        <v>2</v>
      </c>
      <c r="K245" s="6">
        <v>21</v>
      </c>
      <c r="L245" s="6" t="s">
        <v>23</v>
      </c>
      <c r="M245" s="8" t="s">
        <v>471</v>
      </c>
      <c r="N245" s="8" t="s">
        <v>471</v>
      </c>
      <c r="O245" s="8" t="s">
        <v>471</v>
      </c>
      <c r="P245" s="10">
        <v>6.6</v>
      </c>
      <c r="Q245" s="10">
        <v>12.5</v>
      </c>
      <c r="R245" s="10">
        <v>34.5</v>
      </c>
      <c r="S245" s="15">
        <f t="shared" si="14"/>
        <v>6.5624999999999991</v>
      </c>
      <c r="T245" s="10">
        <f t="shared" si="13"/>
        <v>5155.9625996321265</v>
      </c>
      <c r="U245" s="11">
        <f t="shared" si="12"/>
        <v>4599.4314002070705</v>
      </c>
      <c r="V245" s="10">
        <v>64.02</v>
      </c>
      <c r="W245" s="10">
        <v>27.8</v>
      </c>
      <c r="X245" s="7">
        <v>0</v>
      </c>
    </row>
    <row r="246" spans="1:24" x14ac:dyDescent="0.25">
      <c r="A246" s="3">
        <v>2025</v>
      </c>
      <c r="B246" s="2" t="s">
        <v>260</v>
      </c>
      <c r="C246" s="6" t="s">
        <v>28</v>
      </c>
      <c r="D246" s="6" t="s">
        <v>29</v>
      </c>
      <c r="E246" s="6" t="s">
        <v>24</v>
      </c>
      <c r="F246" s="6" t="s">
        <v>306</v>
      </c>
      <c r="G246" s="6">
        <v>804</v>
      </c>
      <c r="H246" s="6">
        <v>4</v>
      </c>
      <c r="I246" s="6">
        <v>8</v>
      </c>
      <c r="J246" s="6">
        <v>3</v>
      </c>
      <c r="K246" s="6">
        <v>16</v>
      </c>
      <c r="L246" s="6" t="s">
        <v>23</v>
      </c>
      <c r="M246" s="8" t="s">
        <v>254</v>
      </c>
      <c r="N246" s="9" t="s">
        <v>58</v>
      </c>
      <c r="O246" s="8" t="s">
        <v>471</v>
      </c>
      <c r="P246" s="10">
        <v>6.71</v>
      </c>
      <c r="Q246" s="10">
        <v>12.5</v>
      </c>
      <c r="R246" s="10">
        <v>38.5</v>
      </c>
      <c r="S246" s="15">
        <f t="shared" si="14"/>
        <v>6.671875</v>
      </c>
      <c r="T246" s="10">
        <f t="shared" si="13"/>
        <v>5241.8953096259957</v>
      </c>
      <c r="U246" s="11">
        <f t="shared" si="12"/>
        <v>4676.0885902105229</v>
      </c>
      <c r="V246" s="10">
        <v>64.040000000000006</v>
      </c>
      <c r="W246" s="10">
        <v>26.05</v>
      </c>
      <c r="X246" s="7">
        <v>0</v>
      </c>
    </row>
    <row r="247" spans="1:24" x14ac:dyDescent="0.25">
      <c r="A247" s="3">
        <v>2025</v>
      </c>
      <c r="B247" s="2" t="s">
        <v>260</v>
      </c>
      <c r="C247" s="6" t="s">
        <v>28</v>
      </c>
      <c r="D247" s="6" t="s">
        <v>29</v>
      </c>
      <c r="E247" s="6" t="s">
        <v>24</v>
      </c>
      <c r="F247" s="6" t="s">
        <v>307</v>
      </c>
      <c r="G247" s="6">
        <v>805</v>
      </c>
      <c r="H247" s="6">
        <v>5</v>
      </c>
      <c r="I247" s="6">
        <v>8</v>
      </c>
      <c r="J247" s="6">
        <v>4</v>
      </c>
      <c r="K247" s="6">
        <v>2</v>
      </c>
      <c r="L247" s="6" t="s">
        <v>23</v>
      </c>
      <c r="M247" s="8" t="s">
        <v>471</v>
      </c>
      <c r="N247" s="8" t="s">
        <v>471</v>
      </c>
      <c r="O247" s="8" t="s">
        <v>471</v>
      </c>
      <c r="P247" s="10">
        <v>7</v>
      </c>
      <c r="Q247" s="10">
        <v>12.5</v>
      </c>
      <c r="R247" s="10">
        <v>37.799999999999997</v>
      </c>
      <c r="S247" s="15">
        <f t="shared" si="14"/>
        <v>6.9602272727272725</v>
      </c>
      <c r="T247" s="10">
        <f t="shared" si="13"/>
        <v>5468.4451814280137</v>
      </c>
      <c r="U247" s="11">
        <f t="shared" si="12"/>
        <v>4878.1848184014398</v>
      </c>
      <c r="V247" s="10">
        <v>65.83</v>
      </c>
      <c r="W247" s="10">
        <v>29.96</v>
      </c>
      <c r="X247" s="7">
        <v>0</v>
      </c>
    </row>
    <row r="248" spans="1:24" x14ac:dyDescent="0.25">
      <c r="A248" s="3">
        <v>2025</v>
      </c>
      <c r="B248" s="2" t="s">
        <v>260</v>
      </c>
      <c r="C248" s="6" t="s">
        <v>28</v>
      </c>
      <c r="D248" s="6" t="s">
        <v>29</v>
      </c>
      <c r="E248" s="6" t="s">
        <v>24</v>
      </c>
      <c r="F248" s="6" t="s">
        <v>308</v>
      </c>
      <c r="G248" s="6">
        <v>806</v>
      </c>
      <c r="H248" s="6">
        <v>6</v>
      </c>
      <c r="I248" s="6">
        <v>8</v>
      </c>
      <c r="J248" s="6">
        <v>4</v>
      </c>
      <c r="K248" s="6">
        <v>18</v>
      </c>
      <c r="L248" s="6" t="s">
        <v>23</v>
      </c>
      <c r="M248" s="8" t="s">
        <v>254</v>
      </c>
      <c r="N248" s="9" t="s">
        <v>62</v>
      </c>
      <c r="O248" s="9" t="s">
        <v>258</v>
      </c>
      <c r="P248" s="10">
        <v>7.65</v>
      </c>
      <c r="Q248" s="10">
        <v>13.1</v>
      </c>
      <c r="R248" s="10">
        <v>39.1</v>
      </c>
      <c r="S248" s="15">
        <f t="shared" si="14"/>
        <v>7.5543750000000003</v>
      </c>
      <c r="T248" s="10">
        <f t="shared" si="13"/>
        <v>5935.2495182622397</v>
      </c>
      <c r="U248" s="11">
        <f t="shared" si="12"/>
        <v>5294.6026032669397</v>
      </c>
      <c r="V248" s="10">
        <v>65.39</v>
      </c>
      <c r="W248" s="10">
        <v>32.28</v>
      </c>
      <c r="X248" s="7">
        <v>0</v>
      </c>
    </row>
    <row r="249" spans="1:24" x14ac:dyDescent="0.25">
      <c r="A249" s="3">
        <v>2025</v>
      </c>
      <c r="B249" s="2" t="s">
        <v>260</v>
      </c>
      <c r="C249" s="6" t="s">
        <v>28</v>
      </c>
      <c r="D249" s="6" t="s">
        <v>29</v>
      </c>
      <c r="E249" s="6" t="s">
        <v>24</v>
      </c>
      <c r="F249" s="6" t="s">
        <v>309</v>
      </c>
      <c r="G249" s="6">
        <v>901</v>
      </c>
      <c r="H249" s="6">
        <v>1</v>
      </c>
      <c r="I249" s="6">
        <v>9</v>
      </c>
      <c r="J249" s="6">
        <v>1</v>
      </c>
      <c r="K249" s="6">
        <v>10</v>
      </c>
      <c r="L249" s="6" t="s">
        <v>23</v>
      </c>
      <c r="M249" s="8" t="s">
        <v>472</v>
      </c>
      <c r="N249" s="9" t="s">
        <v>58</v>
      </c>
      <c r="O249" s="9" t="s">
        <v>257</v>
      </c>
      <c r="P249" s="10">
        <v>6.62</v>
      </c>
      <c r="Q249" s="10">
        <v>13.1</v>
      </c>
      <c r="R249" s="10">
        <v>38.799999999999997</v>
      </c>
      <c r="S249" s="15">
        <f t="shared" si="14"/>
        <v>6.5372500000000002</v>
      </c>
      <c r="T249" s="10">
        <f t="shared" si="13"/>
        <v>5136.1244197249716</v>
      </c>
      <c r="U249" s="11">
        <f t="shared" si="12"/>
        <v>4581.7345403434183</v>
      </c>
      <c r="V249" s="10">
        <v>65.66</v>
      </c>
      <c r="W249" s="10">
        <v>28.82</v>
      </c>
      <c r="X249" s="7">
        <v>0</v>
      </c>
    </row>
    <row r="250" spans="1:24" x14ac:dyDescent="0.25">
      <c r="A250" s="3">
        <v>2025</v>
      </c>
      <c r="B250" s="2" t="s">
        <v>260</v>
      </c>
      <c r="C250" s="6" t="s">
        <v>28</v>
      </c>
      <c r="D250" s="6" t="s">
        <v>29</v>
      </c>
      <c r="E250" s="6" t="s">
        <v>24</v>
      </c>
      <c r="F250" s="6" t="s">
        <v>310</v>
      </c>
      <c r="G250" s="6">
        <v>902</v>
      </c>
      <c r="H250" s="6">
        <v>2</v>
      </c>
      <c r="I250" s="6">
        <v>9</v>
      </c>
      <c r="J250" s="6">
        <v>2</v>
      </c>
      <c r="K250" s="6">
        <v>17</v>
      </c>
      <c r="L250" s="6" t="s">
        <v>23</v>
      </c>
      <c r="M250" s="8" t="s">
        <v>254</v>
      </c>
      <c r="N250" s="9" t="s">
        <v>60</v>
      </c>
      <c r="O250" s="9" t="s">
        <v>258</v>
      </c>
      <c r="P250" s="10">
        <v>7.09</v>
      </c>
      <c r="Q250" s="10">
        <v>12.6</v>
      </c>
      <c r="R250" s="10">
        <v>38.799999999999997</v>
      </c>
      <c r="S250" s="15">
        <f t="shared" si="14"/>
        <v>7.0416590909090901</v>
      </c>
      <c r="T250" s="10">
        <f t="shared" si="13"/>
        <v>5532.4237580322806</v>
      </c>
      <c r="U250" s="11">
        <f t="shared" si="12"/>
        <v>4935.257589680893</v>
      </c>
      <c r="V250" s="10">
        <v>64.89</v>
      </c>
      <c r="W250" s="10">
        <v>29.02</v>
      </c>
      <c r="X250" s="7">
        <v>0</v>
      </c>
    </row>
    <row r="251" spans="1:24" x14ac:dyDescent="0.25">
      <c r="A251" s="3">
        <v>2025</v>
      </c>
      <c r="B251" s="2" t="s">
        <v>260</v>
      </c>
      <c r="C251" s="6" t="s">
        <v>28</v>
      </c>
      <c r="D251" s="6" t="s">
        <v>29</v>
      </c>
      <c r="E251" s="6" t="s">
        <v>24</v>
      </c>
      <c r="F251" s="6" t="s">
        <v>311</v>
      </c>
      <c r="G251" s="6">
        <v>903</v>
      </c>
      <c r="H251" s="6">
        <v>3</v>
      </c>
      <c r="I251" s="6">
        <v>9</v>
      </c>
      <c r="J251" s="6">
        <v>2</v>
      </c>
      <c r="K251" s="6">
        <v>2</v>
      </c>
      <c r="L251" s="6" t="s">
        <v>23</v>
      </c>
      <c r="M251" s="8" t="s">
        <v>471</v>
      </c>
      <c r="N251" s="8" t="s">
        <v>471</v>
      </c>
      <c r="O251" s="8" t="s">
        <v>471</v>
      </c>
      <c r="P251" s="10">
        <v>6.91</v>
      </c>
      <c r="Q251" s="10">
        <v>12.4</v>
      </c>
      <c r="R251" s="10">
        <v>37.9</v>
      </c>
      <c r="S251" s="15">
        <f t="shared" si="14"/>
        <v>6.8785909090909092</v>
      </c>
      <c r="T251" s="10">
        <f t="shared" si="13"/>
        <v>5404.3058994959674</v>
      </c>
      <c r="U251" s="11">
        <f t="shared" si="12"/>
        <v>4820.9686882212018</v>
      </c>
      <c r="V251" s="10">
        <v>66.53</v>
      </c>
      <c r="W251" s="10">
        <v>31.08</v>
      </c>
      <c r="X251" s="7">
        <v>0</v>
      </c>
    </row>
    <row r="252" spans="1:24" x14ac:dyDescent="0.25">
      <c r="A252" s="3">
        <v>2025</v>
      </c>
      <c r="B252" s="2" t="s">
        <v>260</v>
      </c>
      <c r="C252" s="6" t="s">
        <v>28</v>
      </c>
      <c r="D252" s="6" t="s">
        <v>29</v>
      </c>
      <c r="E252" s="6" t="s">
        <v>24</v>
      </c>
      <c r="F252" s="6" t="s">
        <v>312</v>
      </c>
      <c r="G252" s="6">
        <v>904</v>
      </c>
      <c r="H252" s="6">
        <v>4</v>
      </c>
      <c r="I252" s="6">
        <v>9</v>
      </c>
      <c r="J252" s="6">
        <v>3</v>
      </c>
      <c r="K252" s="6">
        <v>4</v>
      </c>
      <c r="L252" s="6" t="s">
        <v>23</v>
      </c>
      <c r="M252" s="8" t="s">
        <v>31</v>
      </c>
      <c r="N252" s="9" t="s">
        <v>58</v>
      </c>
      <c r="O252" s="9" t="s">
        <v>259</v>
      </c>
      <c r="P252" s="10">
        <v>6.85</v>
      </c>
      <c r="Q252" s="10">
        <v>12.7</v>
      </c>
      <c r="R252" s="10">
        <v>38</v>
      </c>
      <c r="S252" s="15">
        <f t="shared" si="14"/>
        <v>6.7955113636363631</v>
      </c>
      <c r="T252" s="10">
        <f t="shared" si="13"/>
        <v>5339.0327521956879</v>
      </c>
      <c r="U252" s="11">
        <f t="shared" si="12"/>
        <v>4762.7410813520855</v>
      </c>
      <c r="V252" s="10">
        <v>65.08</v>
      </c>
      <c r="W252" s="10">
        <v>27.07</v>
      </c>
      <c r="X252" s="7">
        <v>0</v>
      </c>
    </row>
    <row r="253" spans="1:24" x14ac:dyDescent="0.25">
      <c r="A253" s="3">
        <v>2025</v>
      </c>
      <c r="B253" s="2" t="s">
        <v>260</v>
      </c>
      <c r="C253" s="6" t="s">
        <v>28</v>
      </c>
      <c r="D253" s="6" t="s">
        <v>29</v>
      </c>
      <c r="E253" s="6" t="s">
        <v>24</v>
      </c>
      <c r="F253" s="6" t="s">
        <v>313</v>
      </c>
      <c r="G253" s="6">
        <v>905</v>
      </c>
      <c r="H253" s="6">
        <v>5</v>
      </c>
      <c r="I253" s="6">
        <v>9</v>
      </c>
      <c r="J253" s="6">
        <v>4</v>
      </c>
      <c r="K253" s="6">
        <v>11</v>
      </c>
      <c r="L253" s="6" t="s">
        <v>23</v>
      </c>
      <c r="M253" s="8" t="s">
        <v>472</v>
      </c>
      <c r="N253" s="9" t="s">
        <v>60</v>
      </c>
      <c r="O253" s="9" t="s">
        <v>257</v>
      </c>
      <c r="P253" s="10">
        <v>7.25</v>
      </c>
      <c r="Q253" s="10">
        <v>12.8</v>
      </c>
      <c r="R253" s="10">
        <v>38.6</v>
      </c>
      <c r="S253" s="15">
        <f t="shared" si="14"/>
        <v>7.1840909090909095</v>
      </c>
      <c r="T253" s="10">
        <f t="shared" si="13"/>
        <v>5644.3282346102696</v>
      </c>
      <c r="U253" s="11">
        <f t="shared" si="12"/>
        <v>5035.0831709279837</v>
      </c>
      <c r="V253" s="10">
        <v>65.540000000000006</v>
      </c>
      <c r="W253" s="10">
        <v>29.21</v>
      </c>
      <c r="X253" s="7">
        <v>0</v>
      </c>
    </row>
    <row r="254" spans="1:24" x14ac:dyDescent="0.25">
      <c r="A254" s="3">
        <v>2025</v>
      </c>
      <c r="B254" s="2" t="s">
        <v>260</v>
      </c>
      <c r="C254" s="6" t="s">
        <v>28</v>
      </c>
      <c r="D254" s="6" t="s">
        <v>29</v>
      </c>
      <c r="E254" s="6" t="s">
        <v>24</v>
      </c>
      <c r="F254" s="6" t="s">
        <v>314</v>
      </c>
      <c r="G254" s="6">
        <v>906</v>
      </c>
      <c r="H254" s="6">
        <v>6</v>
      </c>
      <c r="I254" s="6">
        <v>9</v>
      </c>
      <c r="J254" s="6">
        <v>4</v>
      </c>
      <c r="K254" s="6">
        <v>1</v>
      </c>
      <c r="L254" s="6" t="s">
        <v>23</v>
      </c>
      <c r="M254" s="8" t="s">
        <v>471</v>
      </c>
      <c r="N254" s="8" t="s">
        <v>471</v>
      </c>
      <c r="O254" s="8" t="s">
        <v>471</v>
      </c>
      <c r="P254" s="10">
        <v>7.57</v>
      </c>
      <c r="Q254" s="10">
        <v>12.8</v>
      </c>
      <c r="R254" s="10">
        <v>38.1</v>
      </c>
      <c r="S254" s="15">
        <f t="shared" si="14"/>
        <v>7.5011818181818182</v>
      </c>
      <c r="T254" s="10">
        <f t="shared" si="13"/>
        <v>5893.4572049654817</v>
      </c>
      <c r="U254" s="11">
        <f t="shared" si="12"/>
        <v>5257.3213246792875</v>
      </c>
      <c r="V254" s="10">
        <v>68.59</v>
      </c>
      <c r="W254" s="10">
        <v>40.68</v>
      </c>
      <c r="X254" s="7">
        <v>0</v>
      </c>
    </row>
    <row r="255" spans="1:24" x14ac:dyDescent="0.25">
      <c r="A255" s="3">
        <v>2025</v>
      </c>
      <c r="B255" s="2" t="s">
        <v>260</v>
      </c>
      <c r="C255" s="6" t="s">
        <v>28</v>
      </c>
      <c r="D255" s="6" t="s">
        <v>29</v>
      </c>
      <c r="E255" s="6" t="s">
        <v>24</v>
      </c>
      <c r="F255" s="6" t="s">
        <v>315</v>
      </c>
      <c r="G255" s="6">
        <v>1001</v>
      </c>
      <c r="H255" s="6">
        <v>1</v>
      </c>
      <c r="I255" s="6">
        <v>10</v>
      </c>
      <c r="J255" s="6">
        <v>1</v>
      </c>
      <c r="K255" s="6">
        <v>15</v>
      </c>
      <c r="L255" s="6" t="s">
        <v>23</v>
      </c>
      <c r="M255" s="8" t="s">
        <v>254</v>
      </c>
      <c r="N255" s="8" t="s">
        <v>470</v>
      </c>
      <c r="O255" s="9" t="s">
        <v>258</v>
      </c>
      <c r="P255" s="10">
        <v>6.81</v>
      </c>
      <c r="Q255" s="10">
        <v>12.8</v>
      </c>
      <c r="R255" s="10">
        <v>38.6</v>
      </c>
      <c r="S255" s="15">
        <f t="shared" si="14"/>
        <v>6.7480909090909087</v>
      </c>
      <c r="T255" s="10">
        <f t="shared" si="13"/>
        <v>5301.7759003718529</v>
      </c>
      <c r="U255" s="11">
        <f t="shared" si="12"/>
        <v>4729.50570951994</v>
      </c>
      <c r="V255" s="10">
        <v>66.739999999999995</v>
      </c>
      <c r="W255" s="10">
        <v>31.31</v>
      </c>
      <c r="X255" s="7">
        <v>0</v>
      </c>
    </row>
    <row r="256" spans="1:24" x14ac:dyDescent="0.25">
      <c r="A256" s="3">
        <v>2025</v>
      </c>
      <c r="B256" s="2" t="s">
        <v>260</v>
      </c>
      <c r="C256" s="6" t="s">
        <v>28</v>
      </c>
      <c r="D256" s="6" t="s">
        <v>29</v>
      </c>
      <c r="E256" s="6" t="s">
        <v>24</v>
      </c>
      <c r="F256" s="6" t="s">
        <v>316</v>
      </c>
      <c r="G256" s="6">
        <v>1002</v>
      </c>
      <c r="H256" s="6">
        <v>2</v>
      </c>
      <c r="I256" s="6">
        <v>10</v>
      </c>
      <c r="J256" s="6">
        <v>2</v>
      </c>
      <c r="K256" s="6">
        <v>4</v>
      </c>
      <c r="L256" s="6" t="s">
        <v>23</v>
      </c>
      <c r="M256" s="8" t="s">
        <v>31</v>
      </c>
      <c r="N256" s="9" t="s">
        <v>58</v>
      </c>
      <c r="O256" s="9" t="s">
        <v>259</v>
      </c>
      <c r="P256" s="10">
        <v>6.96</v>
      </c>
      <c r="Q256" s="10">
        <v>13.2</v>
      </c>
      <c r="R256" s="10">
        <v>37.9</v>
      </c>
      <c r="S256" s="15">
        <f t="shared" si="14"/>
        <v>6.8650909090909087</v>
      </c>
      <c r="T256" s="10">
        <f t="shared" si="13"/>
        <v>5393.6993478624372</v>
      </c>
      <c r="U256" s="11">
        <f t="shared" si="12"/>
        <v>4811.5070007693466</v>
      </c>
      <c r="V256" s="10">
        <v>66.02</v>
      </c>
      <c r="W256" s="10">
        <v>29.29</v>
      </c>
      <c r="X256" s="7">
        <v>0</v>
      </c>
    </row>
    <row r="257" spans="1:24" x14ac:dyDescent="0.25">
      <c r="A257" s="3">
        <v>2025</v>
      </c>
      <c r="B257" s="2" t="s">
        <v>260</v>
      </c>
      <c r="C257" s="6" t="s">
        <v>28</v>
      </c>
      <c r="D257" s="6" t="s">
        <v>29</v>
      </c>
      <c r="E257" s="6" t="s">
        <v>24</v>
      </c>
      <c r="F257" s="6" t="s">
        <v>317</v>
      </c>
      <c r="G257" s="6">
        <v>1003</v>
      </c>
      <c r="H257" s="6">
        <v>3</v>
      </c>
      <c r="I257" s="6">
        <v>10</v>
      </c>
      <c r="J257" s="6">
        <v>2</v>
      </c>
      <c r="K257" s="6">
        <v>18</v>
      </c>
      <c r="L257" s="6" t="s">
        <v>23</v>
      </c>
      <c r="M257" s="8" t="s">
        <v>254</v>
      </c>
      <c r="N257" s="9" t="s">
        <v>62</v>
      </c>
      <c r="O257" s="9" t="s">
        <v>258</v>
      </c>
      <c r="P257" s="10">
        <v>7.01</v>
      </c>
      <c r="Q257" s="10">
        <v>12.6</v>
      </c>
      <c r="R257" s="10">
        <v>37.6</v>
      </c>
      <c r="S257" s="15">
        <f t="shared" si="14"/>
        <v>6.9622045454545454</v>
      </c>
      <c r="T257" s="10">
        <f t="shared" si="13"/>
        <v>5469.9986662632273</v>
      </c>
      <c r="U257" s="11">
        <f t="shared" si="12"/>
        <v>4879.5706211090337</v>
      </c>
      <c r="V257" s="10">
        <v>66.47</v>
      </c>
      <c r="W257" s="10">
        <v>32.99</v>
      </c>
      <c r="X257" s="7">
        <v>0</v>
      </c>
    </row>
    <row r="258" spans="1:24" x14ac:dyDescent="0.25">
      <c r="A258" s="3">
        <v>2025</v>
      </c>
      <c r="B258" s="2" t="s">
        <v>260</v>
      </c>
      <c r="C258" s="6" t="s">
        <v>28</v>
      </c>
      <c r="D258" s="6" t="s">
        <v>29</v>
      </c>
      <c r="E258" s="6" t="s">
        <v>24</v>
      </c>
      <c r="F258" s="6" t="s">
        <v>318</v>
      </c>
      <c r="G258" s="6">
        <v>1004</v>
      </c>
      <c r="H258" s="6">
        <v>4</v>
      </c>
      <c r="I258" s="6">
        <v>10</v>
      </c>
      <c r="J258" s="6">
        <v>3</v>
      </c>
      <c r="K258" s="6">
        <v>1</v>
      </c>
      <c r="L258" s="6" t="s">
        <v>23</v>
      </c>
      <c r="M258" s="8" t="s">
        <v>471</v>
      </c>
      <c r="N258" s="8" t="s">
        <v>471</v>
      </c>
      <c r="O258" s="8" t="s">
        <v>471</v>
      </c>
      <c r="P258" s="10">
        <v>8.23</v>
      </c>
      <c r="Q258" s="10">
        <v>13.4</v>
      </c>
      <c r="R258" s="10">
        <v>39.200000000000003</v>
      </c>
      <c r="S258" s="15">
        <f t="shared" si="14"/>
        <v>8.0990681818181827</v>
      </c>
      <c r="T258" s="10">
        <f t="shared" si="13"/>
        <v>6363.1988780685897</v>
      </c>
      <c r="U258" s="11">
        <f t="shared" si="12"/>
        <v>5676.3593916758164</v>
      </c>
      <c r="V258" s="10">
        <v>69.87</v>
      </c>
      <c r="W258" s="10">
        <v>44.86</v>
      </c>
      <c r="X258" s="7">
        <v>0</v>
      </c>
    </row>
    <row r="259" spans="1:24" x14ac:dyDescent="0.25">
      <c r="A259" s="3">
        <v>2025</v>
      </c>
      <c r="B259" s="2" t="s">
        <v>260</v>
      </c>
      <c r="C259" s="6" t="s">
        <v>28</v>
      </c>
      <c r="D259" s="6" t="s">
        <v>29</v>
      </c>
      <c r="E259" s="6" t="s">
        <v>24</v>
      </c>
      <c r="F259" s="6" t="s">
        <v>319</v>
      </c>
      <c r="G259" s="6">
        <v>1005</v>
      </c>
      <c r="H259" s="6">
        <v>5</v>
      </c>
      <c r="I259" s="6">
        <v>10</v>
      </c>
      <c r="J259" s="6">
        <v>4</v>
      </c>
      <c r="K259" s="6">
        <v>5</v>
      </c>
      <c r="L259" s="6" t="s">
        <v>23</v>
      </c>
      <c r="M259" s="8" t="s">
        <v>31</v>
      </c>
      <c r="N259" s="9" t="s">
        <v>60</v>
      </c>
      <c r="O259" s="9" t="s">
        <v>259</v>
      </c>
      <c r="P259" s="10">
        <v>7.77</v>
      </c>
      <c r="Q259" s="10">
        <v>13.1</v>
      </c>
      <c r="R259" s="10">
        <v>38.5</v>
      </c>
      <c r="S259" s="15">
        <f t="shared" si="14"/>
        <v>7.6728749999999994</v>
      </c>
      <c r="T259" s="10">
        <f t="shared" si="13"/>
        <v>6028.3514714898829</v>
      </c>
      <c r="U259" s="11">
        <f t="shared" si="12"/>
        <v>5377.6551931221074</v>
      </c>
      <c r="V259" s="10">
        <v>66.84</v>
      </c>
      <c r="W259" s="10">
        <v>33.24</v>
      </c>
      <c r="X259" s="7">
        <v>0</v>
      </c>
    </row>
    <row r="260" spans="1:24" x14ac:dyDescent="0.25">
      <c r="A260" s="3">
        <v>2025</v>
      </c>
      <c r="B260" s="2" t="s">
        <v>260</v>
      </c>
      <c r="C260" s="6" t="s">
        <v>28</v>
      </c>
      <c r="D260" s="6" t="s">
        <v>29</v>
      </c>
      <c r="E260" s="6" t="s">
        <v>24</v>
      </c>
      <c r="F260" s="6" t="s">
        <v>320</v>
      </c>
      <c r="G260" s="6">
        <v>1006</v>
      </c>
      <c r="H260" s="6">
        <v>6</v>
      </c>
      <c r="I260" s="6">
        <v>10</v>
      </c>
      <c r="J260" s="6">
        <v>4</v>
      </c>
      <c r="K260" s="6">
        <v>4</v>
      </c>
      <c r="L260" s="6" t="s">
        <v>23</v>
      </c>
      <c r="M260" s="8" t="s">
        <v>31</v>
      </c>
      <c r="N260" s="9" t="s">
        <v>58</v>
      </c>
      <c r="O260" s="9" t="s">
        <v>259</v>
      </c>
      <c r="P260" s="10">
        <v>8.5399999999999991</v>
      </c>
      <c r="Q260" s="10">
        <v>13.6</v>
      </c>
      <c r="R260" s="10">
        <v>39.4</v>
      </c>
      <c r="S260" s="15">
        <f t="shared" si="14"/>
        <v>8.3847272727272717</v>
      </c>
      <c r="T260" s="10">
        <f t="shared" si="13"/>
        <v>6587.6327963881604</v>
      </c>
      <c r="U260" s="11">
        <f t="shared" si="12"/>
        <v>5876.5680610063873</v>
      </c>
      <c r="V260" s="10">
        <v>66.06</v>
      </c>
      <c r="W260" s="10">
        <v>31.98</v>
      </c>
      <c r="X260" s="7">
        <v>0</v>
      </c>
    </row>
    <row r="261" spans="1:24" x14ac:dyDescent="0.25">
      <c r="A261" s="3">
        <v>2025</v>
      </c>
      <c r="B261" s="2" t="s">
        <v>260</v>
      </c>
      <c r="C261" s="6" t="s">
        <v>28</v>
      </c>
      <c r="D261" s="6" t="s">
        <v>29</v>
      </c>
      <c r="E261" s="6" t="s">
        <v>24</v>
      </c>
      <c r="F261" s="6" t="s">
        <v>321</v>
      </c>
      <c r="G261" s="6">
        <v>1101</v>
      </c>
      <c r="H261" s="6">
        <v>1</v>
      </c>
      <c r="I261" s="6">
        <v>11</v>
      </c>
      <c r="J261" s="6">
        <v>1</v>
      </c>
      <c r="K261" s="6">
        <v>2</v>
      </c>
      <c r="L261" s="6" t="s">
        <v>23</v>
      </c>
      <c r="M261" s="8" t="s">
        <v>471</v>
      </c>
      <c r="N261" s="8" t="s">
        <v>471</v>
      </c>
      <c r="O261" s="8" t="s">
        <v>471</v>
      </c>
      <c r="P261" s="10">
        <v>6.61</v>
      </c>
      <c r="Q261" s="10">
        <v>12.7</v>
      </c>
      <c r="R261" s="10">
        <v>38.700000000000003</v>
      </c>
      <c r="S261" s="15">
        <f t="shared" si="14"/>
        <v>6.5574204545454542</v>
      </c>
      <c r="T261" s="10">
        <f t="shared" si="13"/>
        <v>5151.9717506589041</v>
      </c>
      <c r="U261" s="11">
        <f t="shared" si="12"/>
        <v>4595.8713208375593</v>
      </c>
      <c r="V261" s="10">
        <v>66.48</v>
      </c>
      <c r="W261" s="10">
        <v>29.87</v>
      </c>
      <c r="X261" s="7">
        <v>0</v>
      </c>
    </row>
    <row r="262" spans="1:24" x14ac:dyDescent="0.25">
      <c r="A262" s="3">
        <v>2025</v>
      </c>
      <c r="B262" s="2" t="s">
        <v>260</v>
      </c>
      <c r="C262" s="6" t="s">
        <v>28</v>
      </c>
      <c r="D262" s="6" t="s">
        <v>29</v>
      </c>
      <c r="E262" s="6" t="s">
        <v>24</v>
      </c>
      <c r="F262" s="6" t="s">
        <v>322</v>
      </c>
      <c r="G262" s="6">
        <v>1102</v>
      </c>
      <c r="H262" s="6">
        <v>2</v>
      </c>
      <c r="I262" s="6">
        <v>11</v>
      </c>
      <c r="J262" s="6">
        <v>2</v>
      </c>
      <c r="K262" s="6">
        <v>1</v>
      </c>
      <c r="L262" s="6" t="s">
        <v>23</v>
      </c>
      <c r="M262" s="8" t="s">
        <v>471</v>
      </c>
      <c r="N262" s="8" t="s">
        <v>471</v>
      </c>
      <c r="O262" s="8" t="s">
        <v>471</v>
      </c>
      <c r="P262" s="10">
        <v>7.59</v>
      </c>
      <c r="Q262" s="10">
        <v>12.6</v>
      </c>
      <c r="R262" s="10">
        <v>39</v>
      </c>
      <c r="S262" s="15">
        <f t="shared" si="14"/>
        <v>7.5382499999999997</v>
      </c>
      <c r="T262" s="10">
        <f t="shared" si="13"/>
        <v>5922.580581588858</v>
      </c>
      <c r="U262" s="11">
        <f t="shared" si="12"/>
        <v>5283.3011432550029</v>
      </c>
      <c r="V262" s="10">
        <v>64.45</v>
      </c>
      <c r="W262" s="10">
        <v>24.18</v>
      </c>
      <c r="X262" s="7">
        <v>0</v>
      </c>
    </row>
    <row r="263" spans="1:24" x14ac:dyDescent="0.25">
      <c r="A263" s="3">
        <v>2025</v>
      </c>
      <c r="B263" s="2" t="s">
        <v>260</v>
      </c>
      <c r="C263" s="6" t="s">
        <v>28</v>
      </c>
      <c r="D263" s="6" t="s">
        <v>29</v>
      </c>
      <c r="E263" s="6" t="s">
        <v>24</v>
      </c>
      <c r="F263" s="6" t="s">
        <v>323</v>
      </c>
      <c r="G263" s="6">
        <v>1103</v>
      </c>
      <c r="H263" s="6">
        <v>3</v>
      </c>
      <c r="I263" s="6">
        <v>11</v>
      </c>
      <c r="J263" s="6">
        <v>2</v>
      </c>
      <c r="K263" s="6">
        <v>9</v>
      </c>
      <c r="L263" s="6" t="s">
        <v>23</v>
      </c>
      <c r="M263" s="8" t="s">
        <v>472</v>
      </c>
      <c r="N263" s="8" t="s">
        <v>470</v>
      </c>
      <c r="O263" s="9" t="s">
        <v>257</v>
      </c>
      <c r="P263" s="10">
        <v>5.93</v>
      </c>
      <c r="Q263" s="10">
        <v>12.2</v>
      </c>
      <c r="R263" s="10">
        <v>37.6</v>
      </c>
      <c r="S263" s="15">
        <f t="shared" si="14"/>
        <v>5.916522727272727</v>
      </c>
      <c r="T263" s="10">
        <f t="shared" si="13"/>
        <v>4648.4373183530133</v>
      </c>
      <c r="U263" s="11">
        <f t="shared" si="12"/>
        <v>4146.6880627591554</v>
      </c>
      <c r="V263" s="10">
        <v>65.510000000000005</v>
      </c>
      <c r="W263" s="10">
        <v>25.36</v>
      </c>
      <c r="X263" s="7">
        <v>0</v>
      </c>
    </row>
    <row r="264" spans="1:24" x14ac:dyDescent="0.25">
      <c r="A264" s="3">
        <v>2025</v>
      </c>
      <c r="B264" s="2" t="s">
        <v>260</v>
      </c>
      <c r="C264" s="6" t="s">
        <v>28</v>
      </c>
      <c r="D264" s="6" t="s">
        <v>29</v>
      </c>
      <c r="E264" s="6" t="s">
        <v>24</v>
      </c>
      <c r="F264" s="6" t="s">
        <v>324</v>
      </c>
      <c r="G264" s="6">
        <v>1104</v>
      </c>
      <c r="H264" s="6">
        <v>4</v>
      </c>
      <c r="I264" s="6">
        <v>11</v>
      </c>
      <c r="J264" s="6">
        <v>3</v>
      </c>
      <c r="K264" s="6">
        <v>17</v>
      </c>
      <c r="L264" s="6" t="s">
        <v>23</v>
      </c>
      <c r="M264" s="8" t="s">
        <v>254</v>
      </c>
      <c r="N264" s="9" t="s">
        <v>60</v>
      </c>
      <c r="O264" s="9" t="s">
        <v>258</v>
      </c>
      <c r="P264" s="10">
        <v>8.3000000000000007</v>
      </c>
      <c r="Q264" s="10">
        <v>13.3</v>
      </c>
      <c r="R264" s="10">
        <v>39.799999999999997</v>
      </c>
      <c r="S264" s="15">
        <f t="shared" si="14"/>
        <v>8.177386363636364</v>
      </c>
      <c r="T264" s="10">
        <f t="shared" si="13"/>
        <v>6424.731162461082</v>
      </c>
      <c r="U264" s="11">
        <f t="shared" si="12"/>
        <v>5731.2499219099755</v>
      </c>
      <c r="V264" s="10">
        <v>65.36</v>
      </c>
      <c r="W264" s="10">
        <v>29.81</v>
      </c>
      <c r="X264" s="7">
        <v>0</v>
      </c>
    </row>
    <row r="265" spans="1:24" x14ac:dyDescent="0.25">
      <c r="A265" s="3">
        <v>2025</v>
      </c>
      <c r="B265" s="2" t="s">
        <v>260</v>
      </c>
      <c r="C265" s="6" t="s">
        <v>28</v>
      </c>
      <c r="D265" s="6" t="s">
        <v>29</v>
      </c>
      <c r="E265" s="6" t="s">
        <v>24</v>
      </c>
      <c r="F265" s="6" t="s">
        <v>325</v>
      </c>
      <c r="G265" s="6">
        <v>1105</v>
      </c>
      <c r="H265" s="6">
        <v>5</v>
      </c>
      <c r="I265" s="6">
        <v>11</v>
      </c>
      <c r="J265" s="6">
        <v>4</v>
      </c>
      <c r="K265" s="6">
        <v>3</v>
      </c>
      <c r="L265" s="6" t="s">
        <v>23</v>
      </c>
      <c r="M265" s="8" t="s">
        <v>31</v>
      </c>
      <c r="N265" s="8" t="s">
        <v>470</v>
      </c>
      <c r="O265" s="9" t="s">
        <v>259</v>
      </c>
      <c r="P265" s="10">
        <v>7.5</v>
      </c>
      <c r="Q265" s="10">
        <v>12.5</v>
      </c>
      <c r="R265" s="10">
        <v>37.299999999999997</v>
      </c>
      <c r="S265" s="15">
        <f t="shared" si="14"/>
        <v>7.4573863636363633</v>
      </c>
      <c r="T265" s="10">
        <f t="shared" si="13"/>
        <v>5859.0484086728711</v>
      </c>
      <c r="U265" s="11">
        <f t="shared" si="12"/>
        <v>5226.6265911443988</v>
      </c>
      <c r="V265" s="10">
        <v>65.41</v>
      </c>
      <c r="W265" s="10">
        <v>31.09</v>
      </c>
      <c r="X265" s="7">
        <v>0</v>
      </c>
    </row>
    <row r="266" spans="1:24" x14ac:dyDescent="0.25">
      <c r="A266" s="3">
        <v>2025</v>
      </c>
      <c r="B266" s="2" t="s">
        <v>260</v>
      </c>
      <c r="C266" s="6" t="s">
        <v>28</v>
      </c>
      <c r="D266" s="6" t="s">
        <v>29</v>
      </c>
      <c r="E266" s="6" t="s">
        <v>24</v>
      </c>
      <c r="F266" s="6" t="s">
        <v>326</v>
      </c>
      <c r="G266" s="6">
        <v>1106</v>
      </c>
      <c r="H266" s="6">
        <v>6</v>
      </c>
      <c r="I266" s="6">
        <v>11</v>
      </c>
      <c r="J266" s="6">
        <v>4</v>
      </c>
      <c r="K266" s="6">
        <v>7</v>
      </c>
      <c r="L266" s="6" t="s">
        <v>23</v>
      </c>
      <c r="M266" s="8" t="s">
        <v>31</v>
      </c>
      <c r="N266" s="9" t="s">
        <v>59</v>
      </c>
      <c r="O266" s="9" t="s">
        <v>259</v>
      </c>
      <c r="P266" s="10">
        <v>8.11</v>
      </c>
      <c r="Q266" s="10">
        <v>12.9</v>
      </c>
      <c r="R266" s="10">
        <v>38.799999999999997</v>
      </c>
      <c r="S266" s="15">
        <f t="shared" si="14"/>
        <v>8.0270568181818174</v>
      </c>
      <c r="T266" s="10">
        <f t="shared" si="13"/>
        <v>6306.6216746160026</v>
      </c>
      <c r="U266" s="11">
        <f t="shared" si="12"/>
        <v>5625.8890942158814</v>
      </c>
      <c r="V266" s="10">
        <v>66.260000000000005</v>
      </c>
      <c r="W266" s="10">
        <v>33.630000000000003</v>
      </c>
      <c r="X266" s="7">
        <v>0</v>
      </c>
    </row>
    <row r="267" spans="1:24" x14ac:dyDescent="0.25">
      <c r="A267" s="3">
        <v>2025</v>
      </c>
      <c r="B267" s="2" t="s">
        <v>260</v>
      </c>
      <c r="C267" s="6" t="s">
        <v>28</v>
      </c>
      <c r="D267" s="6" t="s">
        <v>29</v>
      </c>
      <c r="E267" s="6" t="s">
        <v>24</v>
      </c>
      <c r="F267" s="6" t="s">
        <v>327</v>
      </c>
      <c r="G267" s="6">
        <v>1201</v>
      </c>
      <c r="H267" s="6">
        <v>1</v>
      </c>
      <c r="I267" s="6">
        <v>12</v>
      </c>
      <c r="J267" s="6">
        <v>1</v>
      </c>
      <c r="K267" s="6">
        <v>5</v>
      </c>
      <c r="L267" s="6" t="s">
        <v>23</v>
      </c>
      <c r="M267" s="8" t="s">
        <v>31</v>
      </c>
      <c r="N267" s="9" t="s">
        <v>60</v>
      </c>
      <c r="O267" s="9" t="s">
        <v>259</v>
      </c>
      <c r="P267" s="10">
        <v>6.86</v>
      </c>
      <c r="Q267" s="10">
        <v>13</v>
      </c>
      <c r="R267" s="10">
        <v>37.700000000000003</v>
      </c>
      <c r="S267" s="15">
        <f t="shared" si="14"/>
        <v>6.7820454545454547</v>
      </c>
      <c r="T267" s="10">
        <f t="shared" si="13"/>
        <v>5328.4529847834574</v>
      </c>
      <c r="U267" s="11">
        <f t="shared" ref="U267:U330" si="15">T267/1.121</f>
        <v>4753.303287050363</v>
      </c>
      <c r="V267" s="10">
        <v>65.33</v>
      </c>
      <c r="W267" s="10">
        <v>30.8</v>
      </c>
      <c r="X267" s="7">
        <v>0</v>
      </c>
    </row>
    <row r="268" spans="1:24" x14ac:dyDescent="0.25">
      <c r="A268" s="3">
        <v>2025</v>
      </c>
      <c r="B268" s="2" t="s">
        <v>260</v>
      </c>
      <c r="C268" s="6" t="s">
        <v>28</v>
      </c>
      <c r="D268" s="6" t="s">
        <v>29</v>
      </c>
      <c r="E268" s="6" t="s">
        <v>24</v>
      </c>
      <c r="F268" s="6" t="s">
        <v>328</v>
      </c>
      <c r="G268" s="6">
        <v>1202</v>
      </c>
      <c r="H268" s="6">
        <v>2</v>
      </c>
      <c r="I268" s="6">
        <v>12</v>
      </c>
      <c r="J268" s="6">
        <v>2</v>
      </c>
      <c r="K268" s="6">
        <v>19</v>
      </c>
      <c r="L268" s="6" t="s">
        <v>23</v>
      </c>
      <c r="M268" s="8" t="s">
        <v>254</v>
      </c>
      <c r="N268" s="9" t="s">
        <v>59</v>
      </c>
      <c r="O268" s="9" t="s">
        <v>258</v>
      </c>
      <c r="P268" s="10">
        <v>7.02</v>
      </c>
      <c r="Q268" s="10">
        <v>12.5</v>
      </c>
      <c r="R268" s="10">
        <v>38.4</v>
      </c>
      <c r="S268" s="15">
        <f t="shared" si="14"/>
        <v>6.9801136363636367</v>
      </c>
      <c r="T268" s="10">
        <f t="shared" si="13"/>
        <v>5484.0693105178079</v>
      </c>
      <c r="U268" s="11">
        <f t="shared" si="15"/>
        <v>4892.1224893111576</v>
      </c>
      <c r="V268" s="10">
        <v>64.77</v>
      </c>
      <c r="W268" s="10">
        <v>32.43</v>
      </c>
      <c r="X268" s="7">
        <v>0</v>
      </c>
    </row>
    <row r="269" spans="1:24" x14ac:dyDescent="0.25">
      <c r="A269" s="3">
        <v>2025</v>
      </c>
      <c r="B269" s="2" t="s">
        <v>260</v>
      </c>
      <c r="C269" s="6" t="s">
        <v>28</v>
      </c>
      <c r="D269" s="6" t="s">
        <v>29</v>
      </c>
      <c r="E269" s="6" t="s">
        <v>24</v>
      </c>
      <c r="F269" s="6" t="s">
        <v>329</v>
      </c>
      <c r="G269" s="6">
        <v>1203</v>
      </c>
      <c r="H269" s="6">
        <v>3</v>
      </c>
      <c r="I269" s="6">
        <v>12</v>
      </c>
      <c r="J269" s="6">
        <v>2</v>
      </c>
      <c r="K269" s="6">
        <v>12</v>
      </c>
      <c r="L269" s="6" t="s">
        <v>23</v>
      </c>
      <c r="M269" s="8" t="s">
        <v>472</v>
      </c>
      <c r="N269" s="9" t="s">
        <v>62</v>
      </c>
      <c r="O269" s="9" t="s">
        <v>257</v>
      </c>
      <c r="P269" s="10">
        <v>7.24</v>
      </c>
      <c r="Q269" s="10">
        <v>12.4</v>
      </c>
      <c r="R269" s="10">
        <v>37.299999999999997</v>
      </c>
      <c r="S269" s="15">
        <f t="shared" si="14"/>
        <v>7.2070909090909092</v>
      </c>
      <c r="T269" s="10">
        <f t="shared" si="13"/>
        <v>5662.3986559118375</v>
      </c>
      <c r="U269" s="11">
        <f t="shared" si="15"/>
        <v>5051.2030828829947</v>
      </c>
      <c r="V269" s="10">
        <v>65.62</v>
      </c>
      <c r="W269" s="10">
        <v>31.1</v>
      </c>
      <c r="X269" s="7">
        <v>0</v>
      </c>
    </row>
    <row r="270" spans="1:24" x14ac:dyDescent="0.25">
      <c r="A270" s="3">
        <v>2025</v>
      </c>
      <c r="B270" s="2" t="s">
        <v>260</v>
      </c>
      <c r="C270" s="6" t="s">
        <v>28</v>
      </c>
      <c r="D270" s="6" t="s">
        <v>29</v>
      </c>
      <c r="E270" s="6" t="s">
        <v>24</v>
      </c>
      <c r="F270" s="6" t="s">
        <v>330</v>
      </c>
      <c r="G270" s="6">
        <v>1204</v>
      </c>
      <c r="H270" s="6">
        <v>4</v>
      </c>
      <c r="I270" s="6">
        <v>12</v>
      </c>
      <c r="J270" s="6">
        <v>3</v>
      </c>
      <c r="K270" s="6">
        <v>19</v>
      </c>
      <c r="L270" s="6" t="s">
        <v>23</v>
      </c>
      <c r="M270" s="8" t="s">
        <v>254</v>
      </c>
      <c r="N270" s="9" t="s">
        <v>59</v>
      </c>
      <c r="O270" s="9" t="s">
        <v>258</v>
      </c>
      <c r="P270" s="10">
        <v>7.45</v>
      </c>
      <c r="Q270" s="10">
        <v>13.3</v>
      </c>
      <c r="R270" s="10">
        <v>39.5</v>
      </c>
      <c r="S270" s="15">
        <f t="shared" si="14"/>
        <v>7.3399431818181817</v>
      </c>
      <c r="T270" s="10">
        <f t="shared" si="13"/>
        <v>5766.7767663054283</v>
      </c>
      <c r="U270" s="11">
        <f t="shared" si="15"/>
        <v>5144.3146889432901</v>
      </c>
      <c r="V270" s="10">
        <v>65.08</v>
      </c>
      <c r="W270" s="10">
        <v>31.54</v>
      </c>
      <c r="X270" s="7">
        <v>0</v>
      </c>
    </row>
    <row r="271" spans="1:24" x14ac:dyDescent="0.25">
      <c r="A271" s="3">
        <v>2025</v>
      </c>
      <c r="B271" s="2" t="s">
        <v>260</v>
      </c>
      <c r="C271" s="6" t="s">
        <v>28</v>
      </c>
      <c r="D271" s="6" t="s">
        <v>29</v>
      </c>
      <c r="E271" s="6" t="s">
        <v>24</v>
      </c>
      <c r="F271" s="6" t="s">
        <v>331</v>
      </c>
      <c r="G271" s="6">
        <v>1205</v>
      </c>
      <c r="H271" s="6">
        <v>5</v>
      </c>
      <c r="I271" s="6">
        <v>12</v>
      </c>
      <c r="J271" s="6">
        <v>4</v>
      </c>
      <c r="K271" s="6">
        <v>16</v>
      </c>
      <c r="L271" s="6" t="s">
        <v>23</v>
      </c>
      <c r="M271" s="8" t="s">
        <v>254</v>
      </c>
      <c r="N271" s="9" t="s">
        <v>58</v>
      </c>
      <c r="O271" s="9" t="s">
        <v>258</v>
      </c>
      <c r="P271" s="10">
        <v>7.86</v>
      </c>
      <c r="Q271" s="10">
        <v>12.6</v>
      </c>
      <c r="R271" s="10">
        <v>38.1</v>
      </c>
      <c r="S271" s="15">
        <f t="shared" si="14"/>
        <v>7.8064090909090913</v>
      </c>
      <c r="T271" s="10">
        <f t="shared" si="13"/>
        <v>6133.2652663094113</v>
      </c>
      <c r="U271" s="11">
        <f t="shared" si="15"/>
        <v>5471.2446621850231</v>
      </c>
      <c r="V271" s="10">
        <v>66.48</v>
      </c>
      <c r="W271" s="10">
        <v>32.15</v>
      </c>
      <c r="X271" s="7">
        <v>0</v>
      </c>
    </row>
    <row r="272" spans="1:24" x14ac:dyDescent="0.25">
      <c r="A272" s="3">
        <v>2025</v>
      </c>
      <c r="B272" s="2" t="s">
        <v>260</v>
      </c>
      <c r="C272" s="6" t="s">
        <v>28</v>
      </c>
      <c r="D272" s="6" t="s">
        <v>29</v>
      </c>
      <c r="E272" s="6" t="s">
        <v>24</v>
      </c>
      <c r="F272" s="6" t="s">
        <v>332</v>
      </c>
      <c r="G272" s="6">
        <v>1206</v>
      </c>
      <c r="H272" s="6">
        <v>6</v>
      </c>
      <c r="I272" s="6">
        <v>12</v>
      </c>
      <c r="J272" s="6">
        <v>4</v>
      </c>
      <c r="K272" s="6">
        <v>6</v>
      </c>
      <c r="L272" s="6" t="s">
        <v>23</v>
      </c>
      <c r="M272" s="8" t="s">
        <v>31</v>
      </c>
      <c r="N272" s="9" t="s">
        <v>62</v>
      </c>
      <c r="O272" s="9" t="s">
        <v>259</v>
      </c>
      <c r="P272" s="10">
        <v>8.02</v>
      </c>
      <c r="Q272" s="10">
        <v>13.2</v>
      </c>
      <c r="R272" s="10">
        <v>38.5</v>
      </c>
      <c r="S272" s="15">
        <f t="shared" si="14"/>
        <v>7.9106363636363639</v>
      </c>
      <c r="T272" s="10">
        <f t="shared" si="13"/>
        <v>6215.153558887464</v>
      </c>
      <c r="U272" s="11">
        <f t="shared" si="15"/>
        <v>5544.2939865187009</v>
      </c>
      <c r="V272" s="10">
        <v>64.59</v>
      </c>
      <c r="W272" s="10">
        <v>30.46</v>
      </c>
      <c r="X272" s="7">
        <v>0</v>
      </c>
    </row>
    <row r="273" spans="1:24" x14ac:dyDescent="0.25">
      <c r="A273" s="3">
        <v>2025</v>
      </c>
      <c r="B273" s="2" t="s">
        <v>260</v>
      </c>
      <c r="C273" s="6" t="s">
        <v>28</v>
      </c>
      <c r="D273" s="6" t="s">
        <v>29</v>
      </c>
      <c r="E273" s="6" t="s">
        <v>24</v>
      </c>
      <c r="F273" s="6" t="s">
        <v>333</v>
      </c>
      <c r="G273" s="6">
        <v>1301</v>
      </c>
      <c r="H273" s="6">
        <v>1</v>
      </c>
      <c r="I273" s="6">
        <v>13</v>
      </c>
      <c r="J273" s="6">
        <v>1</v>
      </c>
      <c r="K273" s="6">
        <v>8</v>
      </c>
      <c r="L273" s="6" t="s">
        <v>23</v>
      </c>
      <c r="M273" s="8" t="s">
        <v>31</v>
      </c>
      <c r="N273" s="9" t="s">
        <v>61</v>
      </c>
      <c r="O273" s="9" t="s">
        <v>259</v>
      </c>
      <c r="P273" s="10">
        <v>6.04</v>
      </c>
      <c r="Q273" s="10">
        <v>13.1</v>
      </c>
      <c r="R273" s="10">
        <v>37.200000000000003</v>
      </c>
      <c r="S273" s="15">
        <f t="shared" si="14"/>
        <v>5.9645000000000001</v>
      </c>
      <c r="T273" s="10">
        <f t="shared" si="13"/>
        <v>4686.1316457913636</v>
      </c>
      <c r="U273" s="11">
        <f t="shared" si="15"/>
        <v>4180.3136893767742</v>
      </c>
      <c r="V273" s="10">
        <v>65.69</v>
      </c>
      <c r="W273" s="10">
        <v>31.54</v>
      </c>
      <c r="X273" s="7">
        <v>0</v>
      </c>
    </row>
    <row r="274" spans="1:24" x14ac:dyDescent="0.25">
      <c r="A274" s="3">
        <v>2025</v>
      </c>
      <c r="B274" s="2" t="s">
        <v>260</v>
      </c>
      <c r="C274" s="6" t="s">
        <v>28</v>
      </c>
      <c r="D274" s="6" t="s">
        <v>29</v>
      </c>
      <c r="E274" s="6" t="s">
        <v>24</v>
      </c>
      <c r="F274" s="6" t="s">
        <v>334</v>
      </c>
      <c r="G274" s="6">
        <v>1302</v>
      </c>
      <c r="H274" s="6">
        <v>2</v>
      </c>
      <c r="I274" s="6">
        <v>13</v>
      </c>
      <c r="J274" s="6">
        <v>2</v>
      </c>
      <c r="K274" s="6">
        <v>16</v>
      </c>
      <c r="L274" s="6" t="s">
        <v>23</v>
      </c>
      <c r="M274" s="8" t="s">
        <v>254</v>
      </c>
      <c r="N274" s="9" t="s">
        <v>58</v>
      </c>
      <c r="O274" s="9" t="s">
        <v>258</v>
      </c>
      <c r="P274" s="10">
        <v>6.66</v>
      </c>
      <c r="Q274" s="10">
        <v>13</v>
      </c>
      <c r="R274" s="10">
        <v>39.6</v>
      </c>
      <c r="S274" s="15">
        <f t="shared" si="14"/>
        <v>6.5843181818181815</v>
      </c>
      <c r="T274" s="10">
        <f t="shared" si="13"/>
        <v>5173.1045012620725</v>
      </c>
      <c r="U274" s="11">
        <f t="shared" si="15"/>
        <v>4614.7230162908763</v>
      </c>
      <c r="V274" s="10">
        <v>64.84</v>
      </c>
      <c r="W274" s="10">
        <v>27.3</v>
      </c>
      <c r="X274" s="7">
        <v>0</v>
      </c>
    </row>
    <row r="275" spans="1:24" x14ac:dyDescent="0.25">
      <c r="A275" s="3">
        <v>2025</v>
      </c>
      <c r="B275" s="2" t="s">
        <v>260</v>
      </c>
      <c r="C275" s="6" t="s">
        <v>28</v>
      </c>
      <c r="D275" s="6" t="s">
        <v>29</v>
      </c>
      <c r="E275" s="6" t="s">
        <v>24</v>
      </c>
      <c r="F275" s="6" t="s">
        <v>335</v>
      </c>
      <c r="G275" s="6">
        <v>1303</v>
      </c>
      <c r="H275" s="6">
        <v>3</v>
      </c>
      <c r="I275" s="6">
        <v>13</v>
      </c>
      <c r="J275" s="6">
        <v>2</v>
      </c>
      <c r="K275" s="6">
        <v>11</v>
      </c>
      <c r="L275" s="6" t="s">
        <v>23</v>
      </c>
      <c r="M275" s="8" t="s">
        <v>472</v>
      </c>
      <c r="N275" s="9" t="s">
        <v>60</v>
      </c>
      <c r="O275" s="9" t="s">
        <v>257</v>
      </c>
      <c r="P275" s="10">
        <v>5.95</v>
      </c>
      <c r="Q275" s="10">
        <v>11.8</v>
      </c>
      <c r="R275" s="10">
        <v>36.299999999999997</v>
      </c>
      <c r="S275" s="15">
        <f t="shared" si="14"/>
        <v>5.9635227272727276</v>
      </c>
      <c r="T275" s="10">
        <f t="shared" ref="T275:T338" si="16">((100000*S275*12%/2.205))/((4.66*16)/10.764)</f>
        <v>4685.363831447522</v>
      </c>
      <c r="U275" s="11">
        <f t="shared" si="15"/>
        <v>4179.6287524063537</v>
      </c>
      <c r="V275" s="10">
        <v>63.63</v>
      </c>
      <c r="W275" s="10">
        <v>24.52</v>
      </c>
      <c r="X275" s="7">
        <v>0</v>
      </c>
    </row>
    <row r="276" spans="1:24" x14ac:dyDescent="0.25">
      <c r="A276" s="3">
        <v>2025</v>
      </c>
      <c r="B276" s="2" t="s">
        <v>260</v>
      </c>
      <c r="C276" s="6" t="s">
        <v>28</v>
      </c>
      <c r="D276" s="6" t="s">
        <v>29</v>
      </c>
      <c r="E276" s="6" t="s">
        <v>24</v>
      </c>
      <c r="F276" s="6" t="s">
        <v>336</v>
      </c>
      <c r="G276" s="6">
        <v>1304</v>
      </c>
      <c r="H276" s="6">
        <v>4</v>
      </c>
      <c r="I276" s="6">
        <v>13</v>
      </c>
      <c r="J276" s="6">
        <v>3</v>
      </c>
      <c r="K276" s="6">
        <v>10</v>
      </c>
      <c r="L276" s="6" t="s">
        <v>23</v>
      </c>
      <c r="M276" s="8" t="s">
        <v>472</v>
      </c>
      <c r="N276" s="9" t="s">
        <v>58</v>
      </c>
      <c r="O276" s="9" t="s">
        <v>257</v>
      </c>
      <c r="P276" s="10">
        <v>7.58</v>
      </c>
      <c r="Q276" s="10">
        <v>13.8</v>
      </c>
      <c r="R276" s="10">
        <v>40.9</v>
      </c>
      <c r="S276" s="15">
        <f t="shared" ref="S276:S339" si="17">P276*(1-Q276/100)/(1-0.12)</f>
        <v>7.4249545454545451</v>
      </c>
      <c r="T276" s="10">
        <f t="shared" si="16"/>
        <v>5833.5676861458569</v>
      </c>
      <c r="U276" s="11">
        <f t="shared" si="15"/>
        <v>5203.8962409864916</v>
      </c>
      <c r="V276" s="10">
        <v>63.68</v>
      </c>
      <c r="W276" s="10">
        <v>25.14</v>
      </c>
      <c r="X276" s="7">
        <v>0</v>
      </c>
    </row>
    <row r="277" spans="1:24" x14ac:dyDescent="0.25">
      <c r="A277" s="3">
        <v>2025</v>
      </c>
      <c r="B277" s="2" t="s">
        <v>260</v>
      </c>
      <c r="C277" s="6" t="s">
        <v>28</v>
      </c>
      <c r="D277" s="6" t="s">
        <v>29</v>
      </c>
      <c r="E277" s="6" t="s">
        <v>24</v>
      </c>
      <c r="F277" s="6" t="s">
        <v>337</v>
      </c>
      <c r="G277" s="6">
        <v>1305</v>
      </c>
      <c r="H277" s="6">
        <v>5</v>
      </c>
      <c r="I277" s="6">
        <v>13</v>
      </c>
      <c r="J277" s="6">
        <v>4</v>
      </c>
      <c r="K277" s="6">
        <v>20</v>
      </c>
      <c r="L277" s="6" t="s">
        <v>23</v>
      </c>
      <c r="M277" s="8" t="s">
        <v>254</v>
      </c>
      <c r="N277" s="9" t="s">
        <v>61</v>
      </c>
      <c r="O277" s="9" t="s">
        <v>258</v>
      </c>
      <c r="P277" s="10">
        <v>6.89</v>
      </c>
      <c r="Q277" s="10">
        <v>12.7</v>
      </c>
      <c r="R277" s="10">
        <v>37.1</v>
      </c>
      <c r="S277" s="15">
        <f t="shared" si="17"/>
        <v>6.8351931818181821</v>
      </c>
      <c r="T277" s="10">
        <f t="shared" si="16"/>
        <v>5370.2095857851536</v>
      </c>
      <c r="U277" s="11">
        <f t="shared" si="15"/>
        <v>4790.5527081045084</v>
      </c>
      <c r="V277" s="10">
        <v>65.31</v>
      </c>
      <c r="W277" s="10">
        <v>31.51</v>
      </c>
      <c r="X277" s="7">
        <v>0</v>
      </c>
    </row>
    <row r="278" spans="1:24" x14ac:dyDescent="0.25">
      <c r="A278" s="3">
        <v>2025</v>
      </c>
      <c r="B278" s="2" t="s">
        <v>260</v>
      </c>
      <c r="C278" s="6" t="s">
        <v>28</v>
      </c>
      <c r="D278" s="6" t="s">
        <v>29</v>
      </c>
      <c r="E278" s="6" t="s">
        <v>24</v>
      </c>
      <c r="F278" s="6" t="s">
        <v>338</v>
      </c>
      <c r="G278" s="6">
        <v>1306</v>
      </c>
      <c r="H278" s="6">
        <v>6</v>
      </c>
      <c r="I278" s="6">
        <v>13</v>
      </c>
      <c r="J278" s="6">
        <v>4</v>
      </c>
      <c r="K278" s="6">
        <v>21</v>
      </c>
      <c r="L278" s="6" t="s">
        <v>23</v>
      </c>
      <c r="M278" s="8" t="s">
        <v>471</v>
      </c>
      <c r="N278" s="8" t="s">
        <v>471</v>
      </c>
      <c r="O278" s="8" t="s">
        <v>471</v>
      </c>
      <c r="P278" s="10">
        <v>8.0500000000000007</v>
      </c>
      <c r="Q278" s="10">
        <v>13.2</v>
      </c>
      <c r="R278" s="10">
        <v>40.4</v>
      </c>
      <c r="S278" s="15">
        <f t="shared" si="17"/>
        <v>7.9402272727272738</v>
      </c>
      <c r="T278" s="10">
        <f t="shared" si="16"/>
        <v>6238.4022629730789</v>
      </c>
      <c r="U278" s="11">
        <f t="shared" si="15"/>
        <v>5565.0332408323629</v>
      </c>
      <c r="V278" s="10">
        <v>65</v>
      </c>
      <c r="W278" s="10">
        <v>30.38</v>
      </c>
      <c r="X278" s="7">
        <v>0</v>
      </c>
    </row>
    <row r="279" spans="1:24" x14ac:dyDescent="0.25">
      <c r="A279" s="3">
        <v>2025</v>
      </c>
      <c r="B279" s="2" t="s">
        <v>260</v>
      </c>
      <c r="C279" s="6" t="s">
        <v>28</v>
      </c>
      <c r="D279" s="6" t="s">
        <v>29</v>
      </c>
      <c r="E279" s="6" t="s">
        <v>24</v>
      </c>
      <c r="F279" s="6" t="s">
        <v>339</v>
      </c>
      <c r="G279" s="6">
        <v>1401</v>
      </c>
      <c r="H279" s="6">
        <v>1</v>
      </c>
      <c r="I279" s="6">
        <v>14</v>
      </c>
      <c r="J279" s="6">
        <v>1</v>
      </c>
      <c r="K279" s="6">
        <v>3</v>
      </c>
      <c r="L279" s="6" t="s">
        <v>23</v>
      </c>
      <c r="M279" s="8" t="s">
        <v>31</v>
      </c>
      <c r="N279" s="8" t="s">
        <v>470</v>
      </c>
      <c r="O279" s="8" t="s">
        <v>471</v>
      </c>
      <c r="P279" s="10">
        <v>5.61</v>
      </c>
      <c r="Q279" s="10">
        <v>12.7</v>
      </c>
      <c r="R279" s="10">
        <v>35.700000000000003</v>
      </c>
      <c r="S279" s="15">
        <f t="shared" si="17"/>
        <v>5.5653750000000004</v>
      </c>
      <c r="T279" s="10">
        <f t="shared" si="16"/>
        <v>4372.5509109223085</v>
      </c>
      <c r="U279" s="11">
        <f t="shared" si="15"/>
        <v>3900.5806520270371</v>
      </c>
      <c r="V279" s="10">
        <v>63.6</v>
      </c>
      <c r="W279" s="10">
        <v>29.13</v>
      </c>
      <c r="X279" s="7">
        <v>0</v>
      </c>
    </row>
    <row r="280" spans="1:24" x14ac:dyDescent="0.25">
      <c r="A280" s="3">
        <v>2025</v>
      </c>
      <c r="B280" s="2" t="s">
        <v>260</v>
      </c>
      <c r="C280" s="6" t="s">
        <v>28</v>
      </c>
      <c r="D280" s="6" t="s">
        <v>29</v>
      </c>
      <c r="E280" s="6" t="s">
        <v>24</v>
      </c>
      <c r="F280" s="6" t="s">
        <v>340</v>
      </c>
      <c r="G280" s="6">
        <v>1402</v>
      </c>
      <c r="H280" s="6">
        <v>2</v>
      </c>
      <c r="I280" s="6">
        <v>14</v>
      </c>
      <c r="J280" s="6">
        <v>2</v>
      </c>
      <c r="K280" s="6">
        <v>6</v>
      </c>
      <c r="L280" s="6" t="s">
        <v>23</v>
      </c>
      <c r="M280" s="8" t="s">
        <v>31</v>
      </c>
      <c r="N280" s="9" t="s">
        <v>62</v>
      </c>
      <c r="O280" s="8" t="s">
        <v>471</v>
      </c>
      <c r="P280" s="10">
        <v>6.1</v>
      </c>
      <c r="Q280" s="10">
        <v>12.8</v>
      </c>
      <c r="R280" s="10">
        <v>39.5</v>
      </c>
      <c r="S280" s="15">
        <f t="shared" si="17"/>
        <v>6.044545454545454</v>
      </c>
      <c r="T280" s="10">
        <f t="shared" si="16"/>
        <v>4749.0209973962264</v>
      </c>
      <c r="U280" s="11">
        <f t="shared" si="15"/>
        <v>4236.4148058842338</v>
      </c>
      <c r="V280" s="10">
        <v>62.71</v>
      </c>
      <c r="W280" s="10">
        <v>26.48</v>
      </c>
      <c r="X280" s="7">
        <v>0</v>
      </c>
    </row>
    <row r="281" spans="1:24" x14ac:dyDescent="0.25">
      <c r="A281" s="3">
        <v>2025</v>
      </c>
      <c r="B281" s="2" t="s">
        <v>260</v>
      </c>
      <c r="C281" s="6" t="s">
        <v>28</v>
      </c>
      <c r="D281" s="6" t="s">
        <v>29</v>
      </c>
      <c r="E281" s="6" t="s">
        <v>24</v>
      </c>
      <c r="F281" s="6" t="s">
        <v>341</v>
      </c>
      <c r="G281" s="6">
        <v>1403</v>
      </c>
      <c r="H281" s="6">
        <v>3</v>
      </c>
      <c r="I281" s="6">
        <v>14</v>
      </c>
      <c r="J281" s="6">
        <v>2</v>
      </c>
      <c r="K281" s="6">
        <v>3</v>
      </c>
      <c r="L281" s="6" t="s">
        <v>23</v>
      </c>
      <c r="M281" s="8" t="s">
        <v>31</v>
      </c>
      <c r="N281" s="8" t="s">
        <v>470</v>
      </c>
      <c r="O281" s="9" t="s">
        <v>259</v>
      </c>
      <c r="P281" s="10">
        <v>6.17</v>
      </c>
      <c r="Q281" s="10">
        <v>11.9</v>
      </c>
      <c r="R281" s="10">
        <v>36.6</v>
      </c>
      <c r="S281" s="15">
        <f t="shared" si="17"/>
        <v>6.1770113636363631</v>
      </c>
      <c r="T281" s="10">
        <f t="shared" si="16"/>
        <v>4853.0955532817879</v>
      </c>
      <c r="U281" s="11">
        <f t="shared" si="15"/>
        <v>4329.2556229097127</v>
      </c>
      <c r="V281" s="10">
        <v>64.599999999999994</v>
      </c>
      <c r="W281" s="10">
        <v>28.85</v>
      </c>
      <c r="X281" s="7">
        <v>0</v>
      </c>
    </row>
    <row r="282" spans="1:24" x14ac:dyDescent="0.25">
      <c r="A282" s="3">
        <v>2025</v>
      </c>
      <c r="B282" s="2" t="s">
        <v>260</v>
      </c>
      <c r="C282" s="6" t="s">
        <v>28</v>
      </c>
      <c r="D282" s="6" t="s">
        <v>29</v>
      </c>
      <c r="E282" s="6" t="s">
        <v>24</v>
      </c>
      <c r="F282" s="6" t="s">
        <v>342</v>
      </c>
      <c r="G282" s="6">
        <v>1404</v>
      </c>
      <c r="H282" s="6">
        <v>4</v>
      </c>
      <c r="I282" s="6">
        <v>14</v>
      </c>
      <c r="J282" s="6">
        <v>3</v>
      </c>
      <c r="K282" s="6">
        <v>2</v>
      </c>
      <c r="L282" s="6" t="s">
        <v>23</v>
      </c>
      <c r="M282" s="8" t="s">
        <v>471</v>
      </c>
      <c r="N282" s="8" t="s">
        <v>471</v>
      </c>
      <c r="O282" s="8" t="s">
        <v>471</v>
      </c>
      <c r="P282" s="10">
        <v>6.61</v>
      </c>
      <c r="Q282" s="10">
        <v>13.5</v>
      </c>
      <c r="R282" s="10">
        <v>40.4</v>
      </c>
      <c r="S282" s="15">
        <f t="shared" si="17"/>
        <v>6.4973295454545452</v>
      </c>
      <c r="T282" s="10">
        <f t="shared" si="16"/>
        <v>5104.7600965864285</v>
      </c>
      <c r="U282" s="11">
        <f t="shared" si="15"/>
        <v>4553.755661540079</v>
      </c>
      <c r="V282" s="10">
        <v>64</v>
      </c>
      <c r="W282" s="10">
        <v>25.12</v>
      </c>
      <c r="X282" s="7">
        <v>0</v>
      </c>
    </row>
    <row r="283" spans="1:24" x14ac:dyDescent="0.25">
      <c r="A283" s="3">
        <v>2025</v>
      </c>
      <c r="B283" s="2" t="s">
        <v>260</v>
      </c>
      <c r="C283" s="6" t="s">
        <v>28</v>
      </c>
      <c r="D283" s="6" t="s">
        <v>29</v>
      </c>
      <c r="E283" s="6" t="s">
        <v>24</v>
      </c>
      <c r="F283" s="6" t="s">
        <v>343</v>
      </c>
      <c r="G283" s="6">
        <v>1405</v>
      </c>
      <c r="H283" s="6">
        <v>5</v>
      </c>
      <c r="I283" s="6">
        <v>14</v>
      </c>
      <c r="J283" s="6">
        <v>4</v>
      </c>
      <c r="K283" s="6">
        <v>14</v>
      </c>
      <c r="L283" s="6" t="s">
        <v>23</v>
      </c>
      <c r="M283" s="8" t="s">
        <v>472</v>
      </c>
      <c r="N283" s="9" t="s">
        <v>61</v>
      </c>
      <c r="O283" s="9" t="s">
        <v>257</v>
      </c>
      <c r="P283" s="10">
        <v>6.48</v>
      </c>
      <c r="Q283" s="10">
        <v>12.6</v>
      </c>
      <c r="R283" s="10">
        <v>36.799999999999997</v>
      </c>
      <c r="S283" s="15">
        <f t="shared" si="17"/>
        <v>6.4358181818181821</v>
      </c>
      <c r="T283" s="10">
        <f t="shared" si="16"/>
        <v>5056.4324332932547</v>
      </c>
      <c r="U283" s="11">
        <f t="shared" si="15"/>
        <v>4510.6444543204771</v>
      </c>
      <c r="V283" s="10">
        <v>65.5</v>
      </c>
      <c r="W283" s="10">
        <v>33.43</v>
      </c>
      <c r="X283" s="7">
        <v>0</v>
      </c>
    </row>
    <row r="284" spans="1:24" x14ac:dyDescent="0.25">
      <c r="A284" s="3">
        <v>2025</v>
      </c>
      <c r="B284" s="2" t="s">
        <v>260</v>
      </c>
      <c r="C284" s="6" t="s">
        <v>28</v>
      </c>
      <c r="D284" s="6" t="s">
        <v>29</v>
      </c>
      <c r="E284" s="6" t="s">
        <v>24</v>
      </c>
      <c r="F284" s="6" t="s">
        <v>344</v>
      </c>
      <c r="G284" s="6">
        <v>1406</v>
      </c>
      <c r="H284" s="6">
        <v>6</v>
      </c>
      <c r="I284" s="6">
        <v>14</v>
      </c>
      <c r="J284" s="6">
        <v>4</v>
      </c>
      <c r="K284" s="6">
        <v>12</v>
      </c>
      <c r="L284" s="6" t="s">
        <v>23</v>
      </c>
      <c r="M284" s="8" t="s">
        <v>472</v>
      </c>
      <c r="N284" s="9" t="s">
        <v>62</v>
      </c>
      <c r="O284" s="9" t="s">
        <v>257</v>
      </c>
      <c r="P284" s="10">
        <v>5.99</v>
      </c>
      <c r="Q284" s="10">
        <v>13.1</v>
      </c>
      <c r="R284" s="10">
        <v>39</v>
      </c>
      <c r="S284" s="15">
        <f t="shared" si="17"/>
        <v>5.9151249999999997</v>
      </c>
      <c r="T284" s="10">
        <f t="shared" si="16"/>
        <v>4647.3391652798455</v>
      </c>
      <c r="U284" s="11">
        <f t="shared" si="15"/>
        <v>4145.7084436037876</v>
      </c>
      <c r="V284" s="10">
        <v>65.61</v>
      </c>
      <c r="W284" s="10">
        <v>31.35</v>
      </c>
      <c r="X284" s="7">
        <v>0</v>
      </c>
    </row>
    <row r="285" spans="1:24" x14ac:dyDescent="0.25">
      <c r="A285" s="3">
        <v>2025</v>
      </c>
      <c r="B285" s="2" t="s">
        <v>345</v>
      </c>
      <c r="C285" s="6" t="s">
        <v>64</v>
      </c>
      <c r="D285" s="6" t="s">
        <v>65</v>
      </c>
      <c r="E285" s="6" t="s">
        <v>25</v>
      </c>
      <c r="F285" s="7" t="s">
        <v>346</v>
      </c>
      <c r="G285" s="7">
        <v>101</v>
      </c>
      <c r="H285" s="6">
        <v>1</v>
      </c>
      <c r="I285" s="7">
        <v>1</v>
      </c>
      <c r="J285" s="6">
        <v>1</v>
      </c>
      <c r="K285" s="6">
        <v>18</v>
      </c>
      <c r="L285" s="7" t="s">
        <v>252</v>
      </c>
      <c r="M285" s="8" t="s">
        <v>254</v>
      </c>
      <c r="N285" s="9" t="s">
        <v>62</v>
      </c>
      <c r="O285" s="9" t="s">
        <v>258</v>
      </c>
      <c r="P285" s="10">
        <v>6.8</v>
      </c>
      <c r="Q285" s="10">
        <v>11.8</v>
      </c>
      <c r="R285" s="10">
        <v>35.700000000000003</v>
      </c>
      <c r="S285" s="15">
        <f t="shared" si="17"/>
        <v>6.8154545454545454</v>
      </c>
      <c r="T285" s="10">
        <f t="shared" si="16"/>
        <v>5354.7015216543105</v>
      </c>
      <c r="U285" s="11">
        <f t="shared" si="15"/>
        <v>4776.7185741786889</v>
      </c>
      <c r="V285" s="10">
        <v>70.86</v>
      </c>
      <c r="W285" s="10">
        <v>46.26</v>
      </c>
      <c r="X285" s="7">
        <v>1</v>
      </c>
    </row>
    <row r="286" spans="1:24" x14ac:dyDescent="0.25">
      <c r="A286" s="3">
        <v>2025</v>
      </c>
      <c r="B286" s="2" t="s">
        <v>345</v>
      </c>
      <c r="C286" s="6" t="s">
        <v>64</v>
      </c>
      <c r="D286" s="6" t="s">
        <v>65</v>
      </c>
      <c r="E286" s="6" t="s">
        <v>25</v>
      </c>
      <c r="F286" s="7" t="s">
        <v>347</v>
      </c>
      <c r="G286" s="7">
        <v>102</v>
      </c>
      <c r="H286" s="6">
        <v>2</v>
      </c>
      <c r="I286" s="7">
        <v>1</v>
      </c>
      <c r="J286" s="6">
        <v>1</v>
      </c>
      <c r="K286" s="6">
        <v>19</v>
      </c>
      <c r="L286" s="7" t="s">
        <v>252</v>
      </c>
      <c r="M286" s="8" t="s">
        <v>254</v>
      </c>
      <c r="N286" s="9" t="s">
        <v>59</v>
      </c>
      <c r="O286" s="9" t="s">
        <v>258</v>
      </c>
      <c r="P286" s="10">
        <v>6.85</v>
      </c>
      <c r="Q286" s="10">
        <v>10.1</v>
      </c>
      <c r="R286" s="10">
        <v>32</v>
      </c>
      <c r="S286" s="15">
        <f t="shared" si="17"/>
        <v>6.9978977272727274</v>
      </c>
      <c r="T286" s="10">
        <f t="shared" si="16"/>
        <v>5498.0417459609662</v>
      </c>
      <c r="U286" s="11">
        <f t="shared" si="15"/>
        <v>4904.5867492961343</v>
      </c>
      <c r="V286" s="10">
        <v>70.48</v>
      </c>
      <c r="W286" s="10">
        <v>45.25</v>
      </c>
      <c r="X286" s="7">
        <v>2</v>
      </c>
    </row>
    <row r="287" spans="1:24" x14ac:dyDescent="0.25">
      <c r="A287" s="3">
        <v>2025</v>
      </c>
      <c r="B287" s="2" t="s">
        <v>345</v>
      </c>
      <c r="C287" s="6" t="s">
        <v>64</v>
      </c>
      <c r="D287" s="6" t="s">
        <v>65</v>
      </c>
      <c r="E287" s="6" t="s">
        <v>25</v>
      </c>
      <c r="F287" s="7" t="s">
        <v>348</v>
      </c>
      <c r="G287" s="7">
        <v>103</v>
      </c>
      <c r="H287" s="6">
        <v>3</v>
      </c>
      <c r="I287" s="7">
        <v>1</v>
      </c>
      <c r="J287" s="6">
        <v>1</v>
      </c>
      <c r="K287" s="6">
        <v>10</v>
      </c>
      <c r="L287" s="7" t="s">
        <v>252</v>
      </c>
      <c r="M287" s="8" t="s">
        <v>472</v>
      </c>
      <c r="N287" s="9" t="s">
        <v>58</v>
      </c>
      <c r="O287" s="9" t="s">
        <v>257</v>
      </c>
      <c r="P287" s="10">
        <v>7.66</v>
      </c>
      <c r="Q287" s="10">
        <v>12.1</v>
      </c>
      <c r="R287" s="10">
        <v>39.5</v>
      </c>
      <c r="S287" s="15">
        <f t="shared" si="17"/>
        <v>7.6512954545454548</v>
      </c>
      <c r="T287" s="10">
        <f t="shared" si="16"/>
        <v>6011.3970594090151</v>
      </c>
      <c r="U287" s="11">
        <f t="shared" si="15"/>
        <v>5362.5308290892199</v>
      </c>
      <c r="V287" s="10">
        <v>71.36</v>
      </c>
      <c r="W287" s="10">
        <v>40.71</v>
      </c>
      <c r="X287" s="7">
        <v>2</v>
      </c>
    </row>
    <row r="288" spans="1:24" x14ac:dyDescent="0.25">
      <c r="A288" s="3">
        <v>2025</v>
      </c>
      <c r="B288" s="2" t="s">
        <v>345</v>
      </c>
      <c r="C288" s="6" t="s">
        <v>64</v>
      </c>
      <c r="D288" s="6" t="s">
        <v>65</v>
      </c>
      <c r="E288" s="6" t="s">
        <v>25</v>
      </c>
      <c r="F288" s="7" t="s">
        <v>349</v>
      </c>
      <c r="G288" s="7">
        <v>104</v>
      </c>
      <c r="H288" s="6">
        <v>4</v>
      </c>
      <c r="I288" s="7">
        <v>1</v>
      </c>
      <c r="J288" s="6">
        <v>1</v>
      </c>
      <c r="K288" s="6">
        <v>13</v>
      </c>
      <c r="L288" s="7" t="s">
        <v>252</v>
      </c>
      <c r="M288" s="8" t="s">
        <v>472</v>
      </c>
      <c r="N288" s="9" t="s">
        <v>59</v>
      </c>
      <c r="O288" s="9" t="s">
        <v>257</v>
      </c>
      <c r="P288" s="10">
        <v>6.15</v>
      </c>
      <c r="Q288" s="10">
        <v>10.7</v>
      </c>
      <c r="R288" s="10">
        <v>33.299999999999997</v>
      </c>
      <c r="S288" s="15">
        <f t="shared" si="17"/>
        <v>6.2408522727272731</v>
      </c>
      <c r="T288" s="10">
        <f t="shared" si="16"/>
        <v>4903.2534716969112</v>
      </c>
      <c r="U288" s="11">
        <f t="shared" si="15"/>
        <v>4373.9995287215979</v>
      </c>
      <c r="V288" s="10">
        <v>70.88</v>
      </c>
      <c r="W288" s="10">
        <v>43.01</v>
      </c>
      <c r="X288" s="7">
        <v>2</v>
      </c>
    </row>
    <row r="289" spans="1:24" x14ac:dyDescent="0.25">
      <c r="A289" s="3">
        <v>2025</v>
      </c>
      <c r="B289" s="2" t="s">
        <v>345</v>
      </c>
      <c r="C289" s="6" t="s">
        <v>64</v>
      </c>
      <c r="D289" s="6" t="s">
        <v>65</v>
      </c>
      <c r="E289" s="6" t="s">
        <v>25</v>
      </c>
      <c r="F289" s="7" t="s">
        <v>350</v>
      </c>
      <c r="G289" s="7">
        <v>105</v>
      </c>
      <c r="H289" s="6">
        <v>5</v>
      </c>
      <c r="I289" s="7">
        <v>1</v>
      </c>
      <c r="J289" s="6">
        <v>2</v>
      </c>
      <c r="K289" s="6">
        <v>3</v>
      </c>
      <c r="L289" s="7" t="s">
        <v>252</v>
      </c>
      <c r="M289" s="8" t="s">
        <v>31</v>
      </c>
      <c r="N289" s="8" t="s">
        <v>470</v>
      </c>
      <c r="O289" s="9" t="s">
        <v>259</v>
      </c>
      <c r="P289" s="10">
        <v>6.23</v>
      </c>
      <c r="Q289" s="10">
        <v>11.9</v>
      </c>
      <c r="R289" s="10">
        <v>37.700000000000003</v>
      </c>
      <c r="S289" s="15">
        <f t="shared" si="17"/>
        <v>6.237079545454546</v>
      </c>
      <c r="T289" s="10">
        <f t="shared" si="16"/>
        <v>4900.289351206733</v>
      </c>
      <c r="U289" s="11">
        <f t="shared" si="15"/>
        <v>4371.35535344044</v>
      </c>
      <c r="V289" s="10">
        <v>72.5</v>
      </c>
      <c r="W289" s="10">
        <v>44.05</v>
      </c>
      <c r="X289" s="7">
        <v>2</v>
      </c>
    </row>
    <row r="290" spans="1:24" x14ac:dyDescent="0.25">
      <c r="A290" s="3">
        <v>2025</v>
      </c>
      <c r="B290" s="2" t="s">
        <v>345</v>
      </c>
      <c r="C290" s="6" t="s">
        <v>64</v>
      </c>
      <c r="D290" s="6" t="s">
        <v>65</v>
      </c>
      <c r="E290" s="6" t="s">
        <v>25</v>
      </c>
      <c r="F290" s="7" t="s">
        <v>351</v>
      </c>
      <c r="G290" s="7">
        <v>106</v>
      </c>
      <c r="H290" s="6">
        <v>6</v>
      </c>
      <c r="I290" s="7">
        <v>1</v>
      </c>
      <c r="J290" s="6">
        <v>2</v>
      </c>
      <c r="K290" s="6">
        <v>8</v>
      </c>
      <c r="L290" s="7" t="s">
        <v>252</v>
      </c>
      <c r="M290" s="8" t="s">
        <v>31</v>
      </c>
      <c r="N290" s="9" t="s">
        <v>61</v>
      </c>
      <c r="O290" s="9" t="s">
        <v>259</v>
      </c>
      <c r="P290" s="10">
        <v>6.49</v>
      </c>
      <c r="Q290" s="10">
        <v>10.7</v>
      </c>
      <c r="R290" s="10">
        <v>32.1</v>
      </c>
      <c r="S290" s="15">
        <f t="shared" si="17"/>
        <v>6.5858750000000006</v>
      </c>
      <c r="T290" s="10">
        <f t="shared" si="16"/>
        <v>5174.3276473679607</v>
      </c>
      <c r="U290" s="11">
        <f t="shared" si="15"/>
        <v>4615.8141368135239</v>
      </c>
      <c r="V290" s="10">
        <v>71.540000000000006</v>
      </c>
      <c r="W290" s="10">
        <v>42.9</v>
      </c>
      <c r="X290" s="7">
        <v>2</v>
      </c>
    </row>
    <row r="291" spans="1:24" x14ac:dyDescent="0.25">
      <c r="A291" s="3">
        <v>2025</v>
      </c>
      <c r="B291" s="2" t="s">
        <v>345</v>
      </c>
      <c r="C291" s="6" t="s">
        <v>64</v>
      </c>
      <c r="D291" s="6" t="s">
        <v>65</v>
      </c>
      <c r="E291" s="6" t="s">
        <v>25</v>
      </c>
      <c r="F291" s="7" t="s">
        <v>352</v>
      </c>
      <c r="G291" s="7">
        <v>107</v>
      </c>
      <c r="H291" s="6">
        <v>7</v>
      </c>
      <c r="I291" s="7">
        <v>1</v>
      </c>
      <c r="J291" s="6">
        <v>2</v>
      </c>
      <c r="K291" s="6">
        <v>11</v>
      </c>
      <c r="L291" s="7" t="s">
        <v>252</v>
      </c>
      <c r="M291" s="8" t="s">
        <v>472</v>
      </c>
      <c r="N291" s="9" t="s">
        <v>60</v>
      </c>
      <c r="O291" s="9" t="s">
        <v>257</v>
      </c>
      <c r="P291" s="10">
        <v>7</v>
      </c>
      <c r="Q291" s="10">
        <v>12.1</v>
      </c>
      <c r="R291" s="10">
        <v>38.6</v>
      </c>
      <c r="S291" s="15">
        <f t="shared" si="17"/>
        <v>6.9920454545454547</v>
      </c>
      <c r="T291" s="10">
        <f t="shared" si="16"/>
        <v>5493.4437879716834</v>
      </c>
      <c r="U291" s="11">
        <f t="shared" si="15"/>
        <v>4900.4850918569882</v>
      </c>
      <c r="V291" s="10">
        <v>71.959999999999994</v>
      </c>
      <c r="W291" s="10">
        <v>42.85</v>
      </c>
      <c r="X291" s="7">
        <v>2</v>
      </c>
    </row>
    <row r="292" spans="1:24" x14ac:dyDescent="0.25">
      <c r="A292" s="3">
        <v>2025</v>
      </c>
      <c r="B292" s="2" t="s">
        <v>345</v>
      </c>
      <c r="C292" s="6" t="s">
        <v>64</v>
      </c>
      <c r="D292" s="6" t="s">
        <v>65</v>
      </c>
      <c r="E292" s="6" t="s">
        <v>25</v>
      </c>
      <c r="F292" s="7" t="s">
        <v>353</v>
      </c>
      <c r="G292" s="7">
        <v>108</v>
      </c>
      <c r="H292" s="6">
        <v>8</v>
      </c>
      <c r="I292" s="7">
        <v>1</v>
      </c>
      <c r="J292" s="6">
        <v>3</v>
      </c>
      <c r="K292" s="6">
        <v>12</v>
      </c>
      <c r="L292" s="7" t="s">
        <v>252</v>
      </c>
      <c r="M292" s="8" t="s">
        <v>472</v>
      </c>
      <c r="N292" s="9" t="s">
        <v>62</v>
      </c>
      <c r="O292" s="9" t="s">
        <v>257</v>
      </c>
      <c r="P292" s="10">
        <v>6.91</v>
      </c>
      <c r="Q292" s="10">
        <v>11.1</v>
      </c>
      <c r="R292" s="10">
        <v>35.700000000000003</v>
      </c>
      <c r="S292" s="15">
        <f t="shared" si="17"/>
        <v>6.9806704545454545</v>
      </c>
      <c r="T292" s="10">
        <f t="shared" si="16"/>
        <v>5484.5067861323223</v>
      </c>
      <c r="U292" s="11">
        <f t="shared" si="15"/>
        <v>4892.5127440966298</v>
      </c>
      <c r="V292" s="10">
        <v>72.41</v>
      </c>
      <c r="W292" s="10">
        <v>47.33</v>
      </c>
      <c r="X292" s="7">
        <v>1</v>
      </c>
    </row>
    <row r="293" spans="1:24" x14ac:dyDescent="0.25">
      <c r="A293" s="3">
        <v>2025</v>
      </c>
      <c r="B293" s="2" t="s">
        <v>345</v>
      </c>
      <c r="C293" s="6" t="s">
        <v>64</v>
      </c>
      <c r="D293" s="6" t="s">
        <v>65</v>
      </c>
      <c r="E293" s="6" t="s">
        <v>25</v>
      </c>
      <c r="F293" s="7" t="s">
        <v>354</v>
      </c>
      <c r="G293" s="7">
        <v>109</v>
      </c>
      <c r="H293" s="6">
        <v>9</v>
      </c>
      <c r="I293" s="7">
        <v>1</v>
      </c>
      <c r="J293" s="6">
        <v>3</v>
      </c>
      <c r="K293" s="6">
        <v>8</v>
      </c>
      <c r="L293" s="7" t="s">
        <v>252</v>
      </c>
      <c r="M293" s="8" t="s">
        <v>31</v>
      </c>
      <c r="N293" s="9" t="s">
        <v>61</v>
      </c>
      <c r="O293" s="9" t="s">
        <v>259</v>
      </c>
      <c r="P293" s="10">
        <v>5.64</v>
      </c>
      <c r="Q293" s="10">
        <v>11.6</v>
      </c>
      <c r="R293" s="10">
        <v>36.4</v>
      </c>
      <c r="S293" s="15">
        <f t="shared" si="17"/>
        <v>5.6656363636363638</v>
      </c>
      <c r="T293" s="10">
        <f t="shared" si="16"/>
        <v>4451.3233057561683</v>
      </c>
      <c r="U293" s="11">
        <f t="shared" si="15"/>
        <v>3970.8504065621482</v>
      </c>
      <c r="V293" s="10">
        <v>72.069999999999993</v>
      </c>
      <c r="W293" s="10">
        <v>45.13</v>
      </c>
      <c r="X293" s="7">
        <v>1</v>
      </c>
    </row>
    <row r="294" spans="1:24" x14ac:dyDescent="0.25">
      <c r="A294" s="3">
        <v>2025</v>
      </c>
      <c r="B294" s="2" t="s">
        <v>345</v>
      </c>
      <c r="C294" s="6" t="s">
        <v>64</v>
      </c>
      <c r="D294" s="6" t="s">
        <v>65</v>
      </c>
      <c r="E294" s="6" t="s">
        <v>25</v>
      </c>
      <c r="F294" s="7" t="s">
        <v>355</v>
      </c>
      <c r="G294" s="7">
        <v>201</v>
      </c>
      <c r="H294" s="6">
        <v>1</v>
      </c>
      <c r="I294" s="7">
        <v>2</v>
      </c>
      <c r="J294" s="6">
        <v>1</v>
      </c>
      <c r="K294" s="6">
        <v>14</v>
      </c>
      <c r="L294" s="7" t="s">
        <v>252</v>
      </c>
      <c r="M294" s="8" t="s">
        <v>472</v>
      </c>
      <c r="N294" s="9" t="s">
        <v>61</v>
      </c>
      <c r="O294" s="9" t="s">
        <v>257</v>
      </c>
      <c r="P294" s="10">
        <v>2.94</v>
      </c>
      <c r="Q294" s="10">
        <v>0</v>
      </c>
      <c r="R294" s="10">
        <v>0</v>
      </c>
      <c r="S294" s="15">
        <f t="shared" si="17"/>
        <v>3.3409090909090908</v>
      </c>
      <c r="T294" s="10">
        <f t="shared" si="16"/>
        <v>2624.8536870854464</v>
      </c>
      <c r="U294" s="11">
        <f t="shared" si="15"/>
        <v>2341.5287128326909</v>
      </c>
      <c r="V294" s="10">
        <v>70.75</v>
      </c>
      <c r="W294" s="10">
        <v>49.37</v>
      </c>
      <c r="X294" s="7">
        <v>1</v>
      </c>
    </row>
    <row r="295" spans="1:24" x14ac:dyDescent="0.25">
      <c r="A295" s="3">
        <v>2025</v>
      </c>
      <c r="B295" s="2" t="s">
        <v>345</v>
      </c>
      <c r="C295" s="6" t="s">
        <v>64</v>
      </c>
      <c r="D295" s="6" t="s">
        <v>65</v>
      </c>
      <c r="E295" s="6" t="s">
        <v>25</v>
      </c>
      <c r="F295" s="7" t="s">
        <v>356</v>
      </c>
      <c r="G295" s="7">
        <v>202</v>
      </c>
      <c r="H295" s="6">
        <v>2</v>
      </c>
      <c r="I295" s="7">
        <v>2</v>
      </c>
      <c r="J295" s="6">
        <v>1</v>
      </c>
      <c r="K295" s="6">
        <v>3</v>
      </c>
      <c r="L295" s="7" t="s">
        <v>252</v>
      </c>
      <c r="M295" s="8" t="s">
        <v>31</v>
      </c>
      <c r="N295" s="8" t="s">
        <v>470</v>
      </c>
      <c r="O295" s="9" t="s">
        <v>259</v>
      </c>
      <c r="P295" s="10">
        <v>8.86</v>
      </c>
      <c r="Q295" s="10">
        <v>11.5</v>
      </c>
      <c r="R295" s="10">
        <v>38.4</v>
      </c>
      <c r="S295" s="15">
        <f t="shared" si="17"/>
        <v>8.9103409090909089</v>
      </c>
      <c r="T295" s="10">
        <f t="shared" si="16"/>
        <v>7000.5919203420735</v>
      </c>
      <c r="U295" s="11">
        <f t="shared" si="15"/>
        <v>6244.9526497253109</v>
      </c>
      <c r="V295" s="10">
        <v>73.099999999999994</v>
      </c>
      <c r="W295" s="10">
        <v>46.4</v>
      </c>
      <c r="X295" s="7">
        <v>2</v>
      </c>
    </row>
    <row r="296" spans="1:24" x14ac:dyDescent="0.25">
      <c r="A296" s="3">
        <v>2025</v>
      </c>
      <c r="B296" s="2" t="s">
        <v>345</v>
      </c>
      <c r="C296" s="6" t="s">
        <v>64</v>
      </c>
      <c r="D296" s="6" t="s">
        <v>65</v>
      </c>
      <c r="E296" s="6" t="s">
        <v>25</v>
      </c>
      <c r="F296" s="7" t="s">
        <v>357</v>
      </c>
      <c r="G296" s="7">
        <v>203</v>
      </c>
      <c r="H296" s="6">
        <v>3</v>
      </c>
      <c r="I296" s="7">
        <v>2</v>
      </c>
      <c r="J296" s="6">
        <v>1</v>
      </c>
      <c r="K296" s="6">
        <v>12</v>
      </c>
      <c r="L296" s="7" t="s">
        <v>252</v>
      </c>
      <c r="M296" s="8" t="s">
        <v>472</v>
      </c>
      <c r="N296" s="9" t="s">
        <v>62</v>
      </c>
      <c r="O296" s="9" t="s">
        <v>257</v>
      </c>
      <c r="P296" s="10">
        <v>8.51</v>
      </c>
      <c r="Q296" s="10">
        <v>12.2</v>
      </c>
      <c r="R296" s="10">
        <v>38.799999999999997</v>
      </c>
      <c r="S296" s="15">
        <f t="shared" si="17"/>
        <v>8.4906590909090909</v>
      </c>
      <c r="T296" s="10">
        <f t="shared" si="16"/>
        <v>6670.8603000310541</v>
      </c>
      <c r="U296" s="11">
        <f t="shared" si="15"/>
        <v>5950.8120428466136</v>
      </c>
      <c r="V296" s="10">
        <v>73.75</v>
      </c>
      <c r="W296" s="10">
        <v>49.66</v>
      </c>
      <c r="X296" s="7">
        <v>2</v>
      </c>
    </row>
    <row r="297" spans="1:24" x14ac:dyDescent="0.25">
      <c r="A297" s="3">
        <v>2025</v>
      </c>
      <c r="B297" s="2" t="s">
        <v>345</v>
      </c>
      <c r="C297" s="6" t="s">
        <v>64</v>
      </c>
      <c r="D297" s="6" t="s">
        <v>65</v>
      </c>
      <c r="E297" s="6" t="s">
        <v>25</v>
      </c>
      <c r="F297" s="7" t="s">
        <v>358</v>
      </c>
      <c r="G297" s="7">
        <v>204</v>
      </c>
      <c r="H297" s="6">
        <v>4</v>
      </c>
      <c r="I297" s="7">
        <v>2</v>
      </c>
      <c r="J297" s="6">
        <v>1</v>
      </c>
      <c r="K297" s="6">
        <v>4</v>
      </c>
      <c r="L297" s="7" t="s">
        <v>252</v>
      </c>
      <c r="M297" s="8" t="s">
        <v>31</v>
      </c>
      <c r="N297" s="9" t="s">
        <v>58</v>
      </c>
      <c r="O297" s="9" t="s">
        <v>259</v>
      </c>
      <c r="P297" s="10">
        <v>9.0399999999999991</v>
      </c>
      <c r="Q297" s="10">
        <v>11.9</v>
      </c>
      <c r="R297" s="10">
        <v>38.799999999999997</v>
      </c>
      <c r="S297" s="15">
        <f t="shared" si="17"/>
        <v>9.050272727272727</v>
      </c>
      <c r="T297" s="10">
        <f t="shared" si="16"/>
        <v>7110.5322206916317</v>
      </c>
      <c r="U297" s="11">
        <f t="shared" si="15"/>
        <v>6343.0260666294662</v>
      </c>
      <c r="V297" s="10">
        <v>73.64</v>
      </c>
      <c r="W297" s="10">
        <v>49</v>
      </c>
      <c r="X297" s="7">
        <v>2</v>
      </c>
    </row>
    <row r="298" spans="1:24" x14ac:dyDescent="0.25">
      <c r="A298" s="3">
        <v>2025</v>
      </c>
      <c r="B298" s="2" t="s">
        <v>345</v>
      </c>
      <c r="C298" s="6" t="s">
        <v>64</v>
      </c>
      <c r="D298" s="6" t="s">
        <v>65</v>
      </c>
      <c r="E298" s="6" t="s">
        <v>25</v>
      </c>
      <c r="F298" s="7" t="s">
        <v>359</v>
      </c>
      <c r="G298" s="7">
        <v>205</v>
      </c>
      <c r="H298" s="6">
        <v>5</v>
      </c>
      <c r="I298" s="7">
        <v>2</v>
      </c>
      <c r="J298" s="6">
        <v>2</v>
      </c>
      <c r="K298" s="6">
        <v>1</v>
      </c>
      <c r="L298" s="7" t="s">
        <v>252</v>
      </c>
      <c r="M298" s="8" t="s">
        <v>471</v>
      </c>
      <c r="N298" s="8" t="s">
        <v>471</v>
      </c>
      <c r="O298" s="8" t="s">
        <v>471</v>
      </c>
      <c r="P298" s="10">
        <v>7.23</v>
      </c>
      <c r="Q298" s="10">
        <v>11.7</v>
      </c>
      <c r="R298" s="10">
        <v>37.6</v>
      </c>
      <c r="S298" s="15">
        <f t="shared" si="17"/>
        <v>7.2546477272727277</v>
      </c>
      <c r="T298" s="10">
        <f t="shared" si="16"/>
        <v>5699.7626446208606</v>
      </c>
      <c r="U298" s="11">
        <f t="shared" si="15"/>
        <v>5084.5340273156653</v>
      </c>
      <c r="V298" s="10">
        <v>73</v>
      </c>
      <c r="W298" s="10">
        <v>44.11</v>
      </c>
      <c r="X298" s="7">
        <v>3</v>
      </c>
    </row>
    <row r="299" spans="1:24" x14ac:dyDescent="0.25">
      <c r="A299" s="3">
        <v>2025</v>
      </c>
      <c r="B299" s="2" t="s">
        <v>345</v>
      </c>
      <c r="C299" s="6" t="s">
        <v>64</v>
      </c>
      <c r="D299" s="6" t="s">
        <v>65</v>
      </c>
      <c r="E299" s="6" t="s">
        <v>25</v>
      </c>
      <c r="F299" s="7" t="s">
        <v>360</v>
      </c>
      <c r="G299" s="7">
        <v>206</v>
      </c>
      <c r="H299" s="6">
        <v>6</v>
      </c>
      <c r="I299" s="7">
        <v>2</v>
      </c>
      <c r="J299" s="6">
        <v>2</v>
      </c>
      <c r="K299" s="6">
        <v>5</v>
      </c>
      <c r="L299" s="7" t="s">
        <v>252</v>
      </c>
      <c r="M299" s="8" t="s">
        <v>31</v>
      </c>
      <c r="N299" s="9" t="s">
        <v>60</v>
      </c>
      <c r="O299" s="9" t="s">
        <v>259</v>
      </c>
      <c r="P299" s="10">
        <v>8.41</v>
      </c>
      <c r="Q299" s="10">
        <v>12.3</v>
      </c>
      <c r="R299" s="10">
        <v>39.9</v>
      </c>
      <c r="S299" s="15">
        <f t="shared" si="17"/>
        <v>8.3813295454545447</v>
      </c>
      <c r="T299" s="10">
        <f t="shared" si="16"/>
        <v>6584.9633023322467</v>
      </c>
      <c r="U299" s="11">
        <f t="shared" si="15"/>
        <v>5874.1867103766699</v>
      </c>
      <c r="V299" s="10">
        <v>73.47</v>
      </c>
      <c r="W299" s="10">
        <v>45.26</v>
      </c>
      <c r="X299" s="7">
        <v>2</v>
      </c>
    </row>
    <row r="300" spans="1:24" x14ac:dyDescent="0.25">
      <c r="A300" s="3">
        <v>2025</v>
      </c>
      <c r="B300" s="2" t="s">
        <v>345</v>
      </c>
      <c r="C300" s="6" t="s">
        <v>64</v>
      </c>
      <c r="D300" s="6" t="s">
        <v>65</v>
      </c>
      <c r="E300" s="6" t="s">
        <v>25</v>
      </c>
      <c r="F300" s="7" t="s">
        <v>361</v>
      </c>
      <c r="G300" s="7">
        <v>207</v>
      </c>
      <c r="H300" s="6">
        <v>7</v>
      </c>
      <c r="I300" s="7">
        <v>2</v>
      </c>
      <c r="J300" s="6">
        <v>3</v>
      </c>
      <c r="K300" s="6">
        <v>7</v>
      </c>
      <c r="L300" s="7" t="s">
        <v>252</v>
      </c>
      <c r="M300" s="8" t="s">
        <v>31</v>
      </c>
      <c r="N300" s="9" t="s">
        <v>59</v>
      </c>
      <c r="O300" s="9" t="s">
        <v>259</v>
      </c>
      <c r="P300" s="10">
        <v>7.91</v>
      </c>
      <c r="Q300" s="10">
        <v>11.9</v>
      </c>
      <c r="R300" s="10">
        <v>37.200000000000003</v>
      </c>
      <c r="S300" s="15">
        <f t="shared" si="17"/>
        <v>7.9189886363636361</v>
      </c>
      <c r="T300" s="10">
        <f t="shared" si="16"/>
        <v>6221.7156931051768</v>
      </c>
      <c r="U300" s="11">
        <f t="shared" si="15"/>
        <v>5550.1478083007823</v>
      </c>
      <c r="V300" s="10">
        <v>73.069999999999993</v>
      </c>
      <c r="W300" s="10">
        <v>46.33</v>
      </c>
      <c r="X300" s="7">
        <v>2</v>
      </c>
    </row>
    <row r="301" spans="1:24" x14ac:dyDescent="0.25">
      <c r="A301" s="3">
        <v>2025</v>
      </c>
      <c r="B301" s="2" t="s">
        <v>345</v>
      </c>
      <c r="C301" s="6" t="s">
        <v>64</v>
      </c>
      <c r="D301" s="6" t="s">
        <v>65</v>
      </c>
      <c r="E301" s="6" t="s">
        <v>25</v>
      </c>
      <c r="F301" s="7" t="s">
        <v>362</v>
      </c>
      <c r="G301" s="7">
        <v>208</v>
      </c>
      <c r="H301" s="6">
        <v>8</v>
      </c>
      <c r="I301" s="7">
        <v>2</v>
      </c>
      <c r="J301" s="6">
        <v>3</v>
      </c>
      <c r="K301" s="6">
        <v>13</v>
      </c>
      <c r="L301" s="7" t="s">
        <v>252</v>
      </c>
      <c r="M301" s="8" t="s">
        <v>472</v>
      </c>
      <c r="N301" s="9" t="s">
        <v>59</v>
      </c>
      <c r="O301" s="9" t="s">
        <v>257</v>
      </c>
      <c r="P301" s="10">
        <v>6.59</v>
      </c>
      <c r="Q301" s="10">
        <v>12.1</v>
      </c>
      <c r="R301" s="10">
        <v>36</v>
      </c>
      <c r="S301" s="15">
        <f t="shared" si="17"/>
        <v>6.582511363636363</v>
      </c>
      <c r="T301" s="10">
        <f t="shared" si="16"/>
        <v>5171.6849375333422</v>
      </c>
      <c r="U301" s="11">
        <f t="shared" si="15"/>
        <v>4613.4566793339363</v>
      </c>
      <c r="V301" s="10">
        <v>73.23</v>
      </c>
      <c r="W301" s="10">
        <v>49.49</v>
      </c>
      <c r="X301" s="7">
        <v>1</v>
      </c>
    </row>
    <row r="302" spans="1:24" x14ac:dyDescent="0.25">
      <c r="A302" s="3">
        <v>2025</v>
      </c>
      <c r="B302" s="2" t="s">
        <v>345</v>
      </c>
      <c r="C302" s="6" t="s">
        <v>64</v>
      </c>
      <c r="D302" s="6" t="s">
        <v>65</v>
      </c>
      <c r="E302" s="6" t="s">
        <v>25</v>
      </c>
      <c r="F302" s="7" t="s">
        <v>363</v>
      </c>
      <c r="G302" s="7">
        <v>209</v>
      </c>
      <c r="H302" s="6">
        <v>9</v>
      </c>
      <c r="I302" s="7">
        <v>2</v>
      </c>
      <c r="J302" s="6">
        <v>3</v>
      </c>
      <c r="K302" s="6">
        <v>11</v>
      </c>
      <c r="L302" s="7" t="s">
        <v>252</v>
      </c>
      <c r="M302" s="8" t="s">
        <v>472</v>
      </c>
      <c r="N302" s="9" t="s">
        <v>60</v>
      </c>
      <c r="O302" s="9" t="s">
        <v>257</v>
      </c>
      <c r="P302" s="10">
        <v>6.99</v>
      </c>
      <c r="Q302" s="10">
        <v>11.5</v>
      </c>
      <c r="R302" s="10">
        <v>37.1</v>
      </c>
      <c r="S302" s="15">
        <f t="shared" si="17"/>
        <v>7.0297159090909096</v>
      </c>
      <c r="T302" s="10">
        <f t="shared" si="16"/>
        <v>5523.0403525046377</v>
      </c>
      <c r="U302" s="11">
        <f t="shared" si="15"/>
        <v>4926.8870227516836</v>
      </c>
      <c r="V302" s="10">
        <v>71.83</v>
      </c>
      <c r="W302" s="10">
        <v>43.44</v>
      </c>
      <c r="X302" s="7">
        <v>1</v>
      </c>
    </row>
    <row r="303" spans="1:24" x14ac:dyDescent="0.25">
      <c r="A303" s="3">
        <v>2025</v>
      </c>
      <c r="B303" s="2" t="s">
        <v>345</v>
      </c>
      <c r="C303" s="6" t="s">
        <v>64</v>
      </c>
      <c r="D303" s="6" t="s">
        <v>65</v>
      </c>
      <c r="E303" s="6" t="s">
        <v>25</v>
      </c>
      <c r="F303" s="7" t="s">
        <v>364</v>
      </c>
      <c r="G303" s="7">
        <v>301</v>
      </c>
      <c r="H303" s="6">
        <v>1</v>
      </c>
      <c r="I303" s="7">
        <v>3</v>
      </c>
      <c r="J303" s="6">
        <v>1</v>
      </c>
      <c r="K303" s="6">
        <v>7</v>
      </c>
      <c r="L303" s="7" t="s">
        <v>252</v>
      </c>
      <c r="M303" s="8" t="s">
        <v>31</v>
      </c>
      <c r="N303" s="9" t="s">
        <v>59</v>
      </c>
      <c r="O303" s="9" t="s">
        <v>259</v>
      </c>
      <c r="P303" s="10">
        <v>7.95</v>
      </c>
      <c r="Q303" s="10">
        <v>13</v>
      </c>
      <c r="R303" s="10">
        <v>39.5</v>
      </c>
      <c r="S303" s="15">
        <f t="shared" si="17"/>
        <v>7.8596590909090907</v>
      </c>
      <c r="T303" s="10">
        <f t="shared" si="16"/>
        <v>6175.1022199749968</v>
      </c>
      <c r="U303" s="11">
        <f t="shared" si="15"/>
        <v>5508.56576268956</v>
      </c>
      <c r="V303" s="10">
        <v>73.739999999999995</v>
      </c>
      <c r="W303" s="10">
        <v>54.28</v>
      </c>
      <c r="X303" s="7">
        <v>1</v>
      </c>
    </row>
    <row r="304" spans="1:24" x14ac:dyDescent="0.25">
      <c r="A304" s="3">
        <v>2025</v>
      </c>
      <c r="B304" s="2" t="s">
        <v>345</v>
      </c>
      <c r="C304" s="6" t="s">
        <v>64</v>
      </c>
      <c r="D304" s="6" t="s">
        <v>65</v>
      </c>
      <c r="E304" s="6" t="s">
        <v>25</v>
      </c>
      <c r="F304" s="7" t="s">
        <v>365</v>
      </c>
      <c r="G304" s="7">
        <v>302</v>
      </c>
      <c r="H304" s="6">
        <v>2</v>
      </c>
      <c r="I304" s="7">
        <v>3</v>
      </c>
      <c r="J304" s="6">
        <v>1</v>
      </c>
      <c r="K304" s="6">
        <v>16</v>
      </c>
      <c r="L304" s="7" t="s">
        <v>252</v>
      </c>
      <c r="M304" s="8" t="s">
        <v>254</v>
      </c>
      <c r="N304" s="9" t="s">
        <v>58</v>
      </c>
      <c r="O304" s="9" t="s">
        <v>258</v>
      </c>
      <c r="P304" s="10">
        <v>8.48</v>
      </c>
      <c r="Q304" s="10">
        <v>12.3</v>
      </c>
      <c r="R304" s="10">
        <v>39</v>
      </c>
      <c r="S304" s="15">
        <f t="shared" si="17"/>
        <v>8.4510909090909099</v>
      </c>
      <c r="T304" s="10">
        <f t="shared" si="16"/>
        <v>6639.7727471792459</v>
      </c>
      <c r="U304" s="11">
        <f t="shared" si="15"/>
        <v>5923.0800599279628</v>
      </c>
      <c r="V304" s="10">
        <v>73.11</v>
      </c>
      <c r="W304" s="10">
        <v>47.37</v>
      </c>
      <c r="X304" s="7">
        <v>2</v>
      </c>
    </row>
    <row r="305" spans="1:24" x14ac:dyDescent="0.25">
      <c r="A305" s="3">
        <v>2025</v>
      </c>
      <c r="B305" s="2" t="s">
        <v>345</v>
      </c>
      <c r="C305" s="6" t="s">
        <v>64</v>
      </c>
      <c r="D305" s="6" t="s">
        <v>65</v>
      </c>
      <c r="E305" s="6" t="s">
        <v>25</v>
      </c>
      <c r="F305" s="7" t="s">
        <v>366</v>
      </c>
      <c r="G305" s="7">
        <v>303</v>
      </c>
      <c r="H305" s="6">
        <v>3</v>
      </c>
      <c r="I305" s="7">
        <v>3</v>
      </c>
      <c r="J305" s="6">
        <v>1</v>
      </c>
      <c r="K305" s="6">
        <v>15</v>
      </c>
      <c r="L305" s="7" t="s">
        <v>252</v>
      </c>
      <c r="M305" s="8" t="s">
        <v>254</v>
      </c>
      <c r="N305" s="8" t="s">
        <v>470</v>
      </c>
      <c r="O305" s="9" t="s">
        <v>258</v>
      </c>
      <c r="P305" s="10">
        <v>9.06</v>
      </c>
      <c r="Q305" s="10">
        <v>12.7</v>
      </c>
      <c r="R305" s="10">
        <v>40.200000000000003</v>
      </c>
      <c r="S305" s="15">
        <f t="shared" si="17"/>
        <v>8.9879318181818189</v>
      </c>
      <c r="T305" s="10">
        <f t="shared" si="16"/>
        <v>7061.5528080135682</v>
      </c>
      <c r="U305" s="11">
        <f t="shared" si="15"/>
        <v>6299.3334594233438</v>
      </c>
      <c r="V305" s="10">
        <v>72.7</v>
      </c>
      <c r="W305" s="10">
        <v>47.03</v>
      </c>
      <c r="X305" s="7">
        <v>2</v>
      </c>
    </row>
    <row r="306" spans="1:24" x14ac:dyDescent="0.25">
      <c r="A306" s="3">
        <v>2025</v>
      </c>
      <c r="B306" s="2" t="s">
        <v>345</v>
      </c>
      <c r="C306" s="6" t="s">
        <v>64</v>
      </c>
      <c r="D306" s="6" t="s">
        <v>65</v>
      </c>
      <c r="E306" s="6" t="s">
        <v>25</v>
      </c>
      <c r="F306" s="7" t="s">
        <v>367</v>
      </c>
      <c r="G306" s="7">
        <v>304</v>
      </c>
      <c r="H306" s="6">
        <v>4</v>
      </c>
      <c r="I306" s="7">
        <v>3</v>
      </c>
      <c r="J306" s="6">
        <v>2</v>
      </c>
      <c r="K306" s="6">
        <v>10</v>
      </c>
      <c r="L306" s="7" t="s">
        <v>252</v>
      </c>
      <c r="M306" s="8" t="s">
        <v>472</v>
      </c>
      <c r="N306" s="9" t="s">
        <v>58</v>
      </c>
      <c r="O306" s="9" t="s">
        <v>257</v>
      </c>
      <c r="P306" s="10">
        <v>8.7200000000000006</v>
      </c>
      <c r="Q306" s="10">
        <v>12.8</v>
      </c>
      <c r="R306" s="10">
        <v>40.1</v>
      </c>
      <c r="S306" s="15">
        <f t="shared" si="17"/>
        <v>8.6407272727272737</v>
      </c>
      <c r="T306" s="10">
        <f t="shared" si="16"/>
        <v>6788.7644421795248</v>
      </c>
      <c r="U306" s="11">
        <f t="shared" si="15"/>
        <v>6055.9896897230374</v>
      </c>
      <c r="V306" s="10">
        <v>72.97</v>
      </c>
      <c r="W306" s="10">
        <v>45.82</v>
      </c>
      <c r="X306" s="7">
        <v>1</v>
      </c>
    </row>
    <row r="307" spans="1:24" x14ac:dyDescent="0.25">
      <c r="A307" s="3">
        <v>2025</v>
      </c>
      <c r="B307" s="2" t="s">
        <v>345</v>
      </c>
      <c r="C307" s="6" t="s">
        <v>64</v>
      </c>
      <c r="D307" s="6" t="s">
        <v>65</v>
      </c>
      <c r="E307" s="6" t="s">
        <v>25</v>
      </c>
      <c r="F307" s="7" t="s">
        <v>368</v>
      </c>
      <c r="G307" s="7">
        <v>305</v>
      </c>
      <c r="H307" s="6">
        <v>5</v>
      </c>
      <c r="I307" s="7">
        <v>3</v>
      </c>
      <c r="J307" s="6">
        <v>2</v>
      </c>
      <c r="K307" s="6">
        <v>13</v>
      </c>
      <c r="L307" s="7" t="s">
        <v>252</v>
      </c>
      <c r="M307" s="8" t="s">
        <v>472</v>
      </c>
      <c r="N307" s="9" t="s">
        <v>59</v>
      </c>
      <c r="O307" s="9" t="s">
        <v>257</v>
      </c>
      <c r="P307" s="10">
        <v>7.09</v>
      </c>
      <c r="Q307" s="10">
        <v>12.4</v>
      </c>
      <c r="R307" s="10">
        <v>38.700000000000003</v>
      </c>
      <c r="S307" s="15">
        <f t="shared" si="17"/>
        <v>7.0577727272727273</v>
      </c>
      <c r="T307" s="10">
        <f t="shared" si="16"/>
        <v>5545.0837666318967</v>
      </c>
      <c r="U307" s="11">
        <f t="shared" si="15"/>
        <v>4946.5510853094529</v>
      </c>
      <c r="V307" s="10">
        <v>73.69</v>
      </c>
      <c r="W307" s="10">
        <v>50.5</v>
      </c>
      <c r="X307" s="7">
        <v>2</v>
      </c>
    </row>
    <row r="308" spans="1:24" x14ac:dyDescent="0.25">
      <c r="A308" s="3">
        <v>2025</v>
      </c>
      <c r="B308" s="2" t="s">
        <v>345</v>
      </c>
      <c r="C308" s="6" t="s">
        <v>64</v>
      </c>
      <c r="D308" s="6" t="s">
        <v>65</v>
      </c>
      <c r="E308" s="6" t="s">
        <v>25</v>
      </c>
      <c r="F308" s="7" t="s">
        <v>369</v>
      </c>
      <c r="G308" s="7">
        <v>306</v>
      </c>
      <c r="H308" s="6">
        <v>6</v>
      </c>
      <c r="I308" s="7">
        <v>3</v>
      </c>
      <c r="J308" s="6">
        <v>2</v>
      </c>
      <c r="K308" s="6">
        <v>17</v>
      </c>
      <c r="L308" s="7" t="s">
        <v>252</v>
      </c>
      <c r="M308" s="8" t="s">
        <v>254</v>
      </c>
      <c r="N308" s="9" t="s">
        <v>60</v>
      </c>
      <c r="O308" s="9" t="s">
        <v>258</v>
      </c>
      <c r="P308" s="10">
        <v>8.8699999999999992</v>
      </c>
      <c r="Q308" s="10">
        <v>12.6</v>
      </c>
      <c r="R308" s="10">
        <v>39.700000000000003</v>
      </c>
      <c r="S308" s="15">
        <f t="shared" si="17"/>
        <v>8.8095227272727268</v>
      </c>
      <c r="T308" s="10">
        <f t="shared" si="16"/>
        <v>6921.3820498936984</v>
      </c>
      <c r="U308" s="11">
        <f t="shared" si="15"/>
        <v>6174.2926404047266</v>
      </c>
      <c r="V308" s="10">
        <v>73.930000000000007</v>
      </c>
      <c r="W308" s="10">
        <v>49.26</v>
      </c>
      <c r="X308" s="7">
        <v>2</v>
      </c>
    </row>
    <row r="309" spans="1:24" x14ac:dyDescent="0.25">
      <c r="A309" s="3">
        <v>2025</v>
      </c>
      <c r="B309" s="2" t="s">
        <v>345</v>
      </c>
      <c r="C309" s="6" t="s">
        <v>64</v>
      </c>
      <c r="D309" s="6" t="s">
        <v>65</v>
      </c>
      <c r="E309" s="6" t="s">
        <v>25</v>
      </c>
      <c r="F309" s="7" t="s">
        <v>370</v>
      </c>
      <c r="G309" s="7">
        <v>307</v>
      </c>
      <c r="H309" s="6">
        <v>7</v>
      </c>
      <c r="I309" s="7">
        <v>3</v>
      </c>
      <c r="J309" s="6">
        <v>3</v>
      </c>
      <c r="K309" s="6">
        <v>4</v>
      </c>
      <c r="L309" s="7" t="s">
        <v>252</v>
      </c>
      <c r="M309" s="8" t="s">
        <v>31</v>
      </c>
      <c r="N309" s="9" t="s">
        <v>58</v>
      </c>
      <c r="O309" s="9" t="s">
        <v>259</v>
      </c>
      <c r="P309" s="10">
        <v>9.02</v>
      </c>
      <c r="Q309" s="10">
        <v>11.8</v>
      </c>
      <c r="R309" s="10">
        <v>39.200000000000003</v>
      </c>
      <c r="S309" s="15">
        <f t="shared" si="17"/>
        <v>9.0404999999999998</v>
      </c>
      <c r="T309" s="10">
        <f t="shared" si="16"/>
        <v>7102.8540772532187</v>
      </c>
      <c r="U309" s="11">
        <f t="shared" si="15"/>
        <v>6336.1766969252621</v>
      </c>
      <c r="V309" s="10">
        <v>72.61</v>
      </c>
      <c r="W309" s="10">
        <v>45.12</v>
      </c>
      <c r="X309" s="7">
        <v>2</v>
      </c>
    </row>
    <row r="310" spans="1:24" x14ac:dyDescent="0.25">
      <c r="A310" s="3">
        <v>2025</v>
      </c>
      <c r="B310" s="2" t="s">
        <v>345</v>
      </c>
      <c r="C310" s="6" t="s">
        <v>64</v>
      </c>
      <c r="D310" s="6" t="s">
        <v>65</v>
      </c>
      <c r="E310" s="6" t="s">
        <v>25</v>
      </c>
      <c r="F310" s="7" t="s">
        <v>371</v>
      </c>
      <c r="G310" s="7">
        <v>308</v>
      </c>
      <c r="H310" s="6">
        <v>8</v>
      </c>
      <c r="I310" s="7">
        <v>3</v>
      </c>
      <c r="J310" s="6">
        <v>3</v>
      </c>
      <c r="K310" s="6">
        <v>18</v>
      </c>
      <c r="L310" s="7" t="s">
        <v>252</v>
      </c>
      <c r="M310" s="8" t="s">
        <v>254</v>
      </c>
      <c r="N310" s="9" t="s">
        <v>62</v>
      </c>
      <c r="O310" s="9" t="s">
        <v>258</v>
      </c>
      <c r="P310" s="10">
        <v>7.28</v>
      </c>
      <c r="Q310" s="10">
        <v>13.4</v>
      </c>
      <c r="R310" s="10">
        <v>35.4</v>
      </c>
      <c r="S310" s="15">
        <f t="shared" si="17"/>
        <v>7.1641818181818184</v>
      </c>
      <c r="T310" s="10">
        <f t="shared" si="16"/>
        <v>5628.6862493729441</v>
      </c>
      <c r="U310" s="11">
        <f t="shared" si="15"/>
        <v>5021.1295712515112</v>
      </c>
      <c r="V310" s="10">
        <v>72.349999999999994</v>
      </c>
      <c r="W310" s="10">
        <v>48.83</v>
      </c>
      <c r="X310" s="7">
        <v>1</v>
      </c>
    </row>
    <row r="311" spans="1:24" x14ac:dyDescent="0.25">
      <c r="A311" s="3">
        <v>2025</v>
      </c>
      <c r="B311" s="2" t="s">
        <v>345</v>
      </c>
      <c r="C311" s="6" t="s">
        <v>64</v>
      </c>
      <c r="D311" s="6" t="s">
        <v>65</v>
      </c>
      <c r="E311" s="6" t="s">
        <v>25</v>
      </c>
      <c r="F311" s="7" t="s">
        <v>372</v>
      </c>
      <c r="G311" s="7">
        <v>309</v>
      </c>
      <c r="H311" s="6">
        <v>9</v>
      </c>
      <c r="I311" s="7">
        <v>3</v>
      </c>
      <c r="J311" s="6">
        <v>3</v>
      </c>
      <c r="K311" s="6">
        <v>10</v>
      </c>
      <c r="L311" s="7" t="s">
        <v>252</v>
      </c>
      <c r="M311" s="8" t="s">
        <v>472</v>
      </c>
      <c r="N311" s="9" t="s">
        <v>58</v>
      </c>
      <c r="O311" s="9" t="s">
        <v>257</v>
      </c>
      <c r="P311" s="10">
        <v>7.63</v>
      </c>
      <c r="Q311" s="10">
        <v>12</v>
      </c>
      <c r="R311" s="10">
        <v>37</v>
      </c>
      <c r="S311" s="15">
        <f t="shared" si="17"/>
        <v>7.6300000000000008</v>
      </c>
      <c r="T311" s="10">
        <f t="shared" si="16"/>
        <v>5994.6658491722874</v>
      </c>
      <c r="U311" s="11">
        <f t="shared" si="15"/>
        <v>5347.6055746407555</v>
      </c>
      <c r="V311" s="10">
        <v>72.099999999999994</v>
      </c>
      <c r="W311" s="10">
        <v>43.09</v>
      </c>
      <c r="X311" s="7">
        <v>2</v>
      </c>
    </row>
    <row r="312" spans="1:24" x14ac:dyDescent="0.25">
      <c r="A312" s="3">
        <v>2025</v>
      </c>
      <c r="B312" s="2" t="s">
        <v>345</v>
      </c>
      <c r="C312" s="6" t="s">
        <v>64</v>
      </c>
      <c r="D312" s="6" t="s">
        <v>65</v>
      </c>
      <c r="E312" s="6" t="s">
        <v>25</v>
      </c>
      <c r="F312" s="7" t="s">
        <v>373</v>
      </c>
      <c r="G312" s="7">
        <v>401</v>
      </c>
      <c r="H312" s="6">
        <v>1</v>
      </c>
      <c r="I312" s="7">
        <v>4</v>
      </c>
      <c r="J312" s="6">
        <v>1</v>
      </c>
      <c r="K312" s="6">
        <v>6</v>
      </c>
      <c r="L312" s="7" t="s">
        <v>252</v>
      </c>
      <c r="M312" s="8" t="s">
        <v>31</v>
      </c>
      <c r="N312" s="9" t="s">
        <v>62</v>
      </c>
      <c r="O312" s="9" t="s">
        <v>259</v>
      </c>
      <c r="P312" s="10">
        <v>8.23</v>
      </c>
      <c r="Q312" s="10">
        <v>12.5</v>
      </c>
      <c r="R312" s="10">
        <v>39.5</v>
      </c>
      <c r="S312" s="15">
        <f t="shared" si="17"/>
        <v>8.1832386363636367</v>
      </c>
      <c r="T312" s="10">
        <f t="shared" si="16"/>
        <v>6429.3291204503639</v>
      </c>
      <c r="U312" s="11">
        <f t="shared" si="15"/>
        <v>5735.3515793491206</v>
      </c>
      <c r="V312" s="10">
        <v>73.73</v>
      </c>
      <c r="W312" s="10">
        <v>52.72</v>
      </c>
      <c r="X312" s="7">
        <v>1</v>
      </c>
    </row>
    <row r="313" spans="1:24" x14ac:dyDescent="0.25">
      <c r="A313" s="3">
        <v>2025</v>
      </c>
      <c r="B313" s="2" t="s">
        <v>345</v>
      </c>
      <c r="C313" s="6" t="s">
        <v>64</v>
      </c>
      <c r="D313" s="6" t="s">
        <v>65</v>
      </c>
      <c r="E313" s="6" t="s">
        <v>25</v>
      </c>
      <c r="F313" s="7" t="s">
        <v>374</v>
      </c>
      <c r="G313" s="7">
        <v>402</v>
      </c>
      <c r="H313" s="6">
        <v>2</v>
      </c>
      <c r="I313" s="7">
        <v>4</v>
      </c>
      <c r="J313" s="6">
        <v>1</v>
      </c>
      <c r="K313" s="6">
        <v>9</v>
      </c>
      <c r="L313" s="7" t="s">
        <v>252</v>
      </c>
      <c r="M313" s="8" t="s">
        <v>472</v>
      </c>
      <c r="N313" s="8" t="s">
        <v>470</v>
      </c>
      <c r="O313" s="9" t="s">
        <v>257</v>
      </c>
      <c r="P313" s="10">
        <v>8.91</v>
      </c>
      <c r="Q313" s="10">
        <v>12.7</v>
      </c>
      <c r="R313" s="10">
        <v>40.5</v>
      </c>
      <c r="S313" s="15">
        <f t="shared" si="17"/>
        <v>8.839125000000001</v>
      </c>
      <c r="T313" s="10">
        <f t="shared" si="16"/>
        <v>6944.6396820530799</v>
      </c>
      <c r="U313" s="11">
        <f t="shared" si="15"/>
        <v>6195.0398591017665</v>
      </c>
      <c r="V313" s="10">
        <v>73.55</v>
      </c>
      <c r="W313" s="10">
        <v>47.2</v>
      </c>
      <c r="X313" s="7">
        <v>2</v>
      </c>
    </row>
    <row r="314" spans="1:24" x14ac:dyDescent="0.25">
      <c r="A314" s="3">
        <v>2025</v>
      </c>
      <c r="B314" s="2" t="s">
        <v>345</v>
      </c>
      <c r="C314" s="6" t="s">
        <v>64</v>
      </c>
      <c r="D314" s="6" t="s">
        <v>65</v>
      </c>
      <c r="E314" s="6" t="s">
        <v>25</v>
      </c>
      <c r="F314" s="7" t="s">
        <v>375</v>
      </c>
      <c r="G314" s="7">
        <v>403</v>
      </c>
      <c r="H314" s="6">
        <v>3</v>
      </c>
      <c r="I314" s="7">
        <v>4</v>
      </c>
      <c r="J314" s="6">
        <v>1</v>
      </c>
      <c r="K314" s="6">
        <v>20</v>
      </c>
      <c r="L314" s="7" t="s">
        <v>252</v>
      </c>
      <c r="M314" s="8" t="s">
        <v>254</v>
      </c>
      <c r="N314" s="9" t="s">
        <v>61</v>
      </c>
      <c r="O314" s="9" t="s">
        <v>258</v>
      </c>
      <c r="P314" s="10">
        <v>8.16</v>
      </c>
      <c r="Q314" s="10">
        <v>12.9</v>
      </c>
      <c r="R314" s="10">
        <v>40.9</v>
      </c>
      <c r="S314" s="15">
        <f t="shared" si="17"/>
        <v>8.0765454545454549</v>
      </c>
      <c r="T314" s="10">
        <f t="shared" si="16"/>
        <v>6345.5034358651765</v>
      </c>
      <c r="U314" s="11">
        <f t="shared" si="15"/>
        <v>5660.5739838226373</v>
      </c>
      <c r="V314" s="10">
        <v>74.8</v>
      </c>
      <c r="W314" s="10">
        <v>52.51</v>
      </c>
      <c r="X314" s="7">
        <v>2</v>
      </c>
    </row>
    <row r="315" spans="1:24" x14ac:dyDescent="0.25">
      <c r="A315" s="3">
        <v>2025</v>
      </c>
      <c r="B315" s="2" t="s">
        <v>345</v>
      </c>
      <c r="C315" s="6" t="s">
        <v>64</v>
      </c>
      <c r="D315" s="6" t="s">
        <v>65</v>
      </c>
      <c r="E315" s="6" t="s">
        <v>25</v>
      </c>
      <c r="F315" s="7" t="s">
        <v>376</v>
      </c>
      <c r="G315" s="7">
        <v>404</v>
      </c>
      <c r="H315" s="6">
        <v>4</v>
      </c>
      <c r="I315" s="7">
        <v>4</v>
      </c>
      <c r="J315" s="6">
        <v>2</v>
      </c>
      <c r="K315" s="6">
        <v>4</v>
      </c>
      <c r="L315" s="7" t="s">
        <v>252</v>
      </c>
      <c r="M315" s="8" t="s">
        <v>31</v>
      </c>
      <c r="N315" s="9" t="s">
        <v>58</v>
      </c>
      <c r="O315" s="9" t="s">
        <v>259</v>
      </c>
      <c r="P315" s="10">
        <v>9.11</v>
      </c>
      <c r="Q315" s="10">
        <v>12.7</v>
      </c>
      <c r="R315" s="10">
        <v>40.6</v>
      </c>
      <c r="S315" s="15">
        <f t="shared" si="17"/>
        <v>9.0375340909090891</v>
      </c>
      <c r="T315" s="10">
        <f t="shared" si="16"/>
        <v>7100.5238500003961</v>
      </c>
      <c r="U315" s="11">
        <f t="shared" si="15"/>
        <v>6334.0979928638681</v>
      </c>
      <c r="V315" s="10">
        <v>74.03</v>
      </c>
      <c r="W315" s="10">
        <v>47.36</v>
      </c>
      <c r="X315" s="7">
        <v>2</v>
      </c>
    </row>
    <row r="316" spans="1:24" x14ac:dyDescent="0.25">
      <c r="A316" s="3">
        <v>2025</v>
      </c>
      <c r="B316" s="2" t="s">
        <v>345</v>
      </c>
      <c r="C316" s="6" t="s">
        <v>64</v>
      </c>
      <c r="D316" s="6" t="s">
        <v>65</v>
      </c>
      <c r="E316" s="6" t="s">
        <v>25</v>
      </c>
      <c r="F316" s="7" t="s">
        <v>377</v>
      </c>
      <c r="G316" s="7">
        <v>405</v>
      </c>
      <c r="H316" s="6">
        <v>5</v>
      </c>
      <c r="I316" s="7">
        <v>4</v>
      </c>
      <c r="J316" s="6">
        <v>2</v>
      </c>
      <c r="K316" s="6">
        <v>2</v>
      </c>
      <c r="L316" s="7" t="s">
        <v>252</v>
      </c>
      <c r="M316" s="8" t="s">
        <v>471</v>
      </c>
      <c r="N316" s="8" t="s">
        <v>471</v>
      </c>
      <c r="O316" s="8" t="s">
        <v>471</v>
      </c>
      <c r="P316" s="10">
        <v>8.17</v>
      </c>
      <c r="Q316" s="10">
        <v>11.8</v>
      </c>
      <c r="R316" s="10">
        <v>38.799999999999997</v>
      </c>
      <c r="S316" s="15">
        <f t="shared" si="17"/>
        <v>8.1885681818181819</v>
      </c>
      <c r="T316" s="10">
        <f t="shared" si="16"/>
        <v>6433.5163870464303</v>
      </c>
      <c r="U316" s="11">
        <f t="shared" si="15"/>
        <v>5739.086875152926</v>
      </c>
      <c r="V316" s="10">
        <v>74.39</v>
      </c>
      <c r="W316" s="10">
        <v>49.5</v>
      </c>
      <c r="X316" s="7">
        <v>2</v>
      </c>
    </row>
    <row r="317" spans="1:24" x14ac:dyDescent="0.25">
      <c r="A317" s="3">
        <v>2025</v>
      </c>
      <c r="B317" s="2" t="s">
        <v>345</v>
      </c>
      <c r="C317" s="6" t="s">
        <v>64</v>
      </c>
      <c r="D317" s="6" t="s">
        <v>65</v>
      </c>
      <c r="E317" s="6" t="s">
        <v>25</v>
      </c>
      <c r="F317" s="7" t="s">
        <v>378</v>
      </c>
      <c r="G317" s="7">
        <v>406</v>
      </c>
      <c r="H317" s="6">
        <v>6</v>
      </c>
      <c r="I317" s="7">
        <v>4</v>
      </c>
      <c r="J317" s="6">
        <v>2</v>
      </c>
      <c r="K317" s="6">
        <v>7</v>
      </c>
      <c r="L317" s="7" t="s">
        <v>252</v>
      </c>
      <c r="M317" s="8" t="s">
        <v>31</v>
      </c>
      <c r="N317" s="9" t="s">
        <v>59</v>
      </c>
      <c r="O317" s="9" t="s">
        <v>259</v>
      </c>
      <c r="P317" s="10">
        <v>8.1999999999999993</v>
      </c>
      <c r="Q317" s="10">
        <v>11.9</v>
      </c>
      <c r="R317" s="10">
        <v>38.5</v>
      </c>
      <c r="S317" s="15">
        <f t="shared" si="17"/>
        <v>8.2093181818181815</v>
      </c>
      <c r="T317" s="10">
        <f t="shared" si="16"/>
        <v>6449.8190497424084</v>
      </c>
      <c r="U317" s="11">
        <f t="shared" si="15"/>
        <v>5753.6298391992941</v>
      </c>
      <c r="V317" s="10">
        <v>74.239999999999995</v>
      </c>
      <c r="W317" s="10">
        <v>47.05</v>
      </c>
      <c r="X317" s="7">
        <v>1</v>
      </c>
    </row>
    <row r="318" spans="1:24" x14ac:dyDescent="0.25">
      <c r="A318" s="3">
        <v>2025</v>
      </c>
      <c r="B318" s="2" t="s">
        <v>345</v>
      </c>
      <c r="C318" s="6" t="s">
        <v>64</v>
      </c>
      <c r="D318" s="6" t="s">
        <v>65</v>
      </c>
      <c r="E318" s="6" t="s">
        <v>25</v>
      </c>
      <c r="F318" s="7" t="s">
        <v>379</v>
      </c>
      <c r="G318" s="7">
        <v>407</v>
      </c>
      <c r="H318" s="6">
        <v>7</v>
      </c>
      <c r="I318" s="7">
        <v>4</v>
      </c>
      <c r="J318" s="6">
        <v>3</v>
      </c>
      <c r="K318" s="6">
        <v>19</v>
      </c>
      <c r="L318" s="7" t="s">
        <v>252</v>
      </c>
      <c r="M318" s="8" t="s">
        <v>254</v>
      </c>
      <c r="N318" s="9" t="s">
        <v>59</v>
      </c>
      <c r="O318" s="9" t="s">
        <v>258</v>
      </c>
      <c r="P318" s="10">
        <v>7.75</v>
      </c>
      <c r="Q318" s="10">
        <v>12.7</v>
      </c>
      <c r="R318" s="10">
        <v>39.5</v>
      </c>
      <c r="S318" s="15">
        <f t="shared" si="17"/>
        <v>7.688352272727272</v>
      </c>
      <c r="T318" s="10">
        <f t="shared" si="16"/>
        <v>6040.5115079586258</v>
      </c>
      <c r="U318" s="11">
        <f t="shared" si="15"/>
        <v>5388.5026832815574</v>
      </c>
      <c r="V318" s="10">
        <v>73.38</v>
      </c>
      <c r="W318" s="10">
        <v>49.93</v>
      </c>
      <c r="X318" s="7">
        <v>1</v>
      </c>
    </row>
    <row r="319" spans="1:24" x14ac:dyDescent="0.25">
      <c r="A319" s="3">
        <v>2025</v>
      </c>
      <c r="B319" s="2" t="s">
        <v>345</v>
      </c>
      <c r="C319" s="6" t="s">
        <v>64</v>
      </c>
      <c r="D319" s="6" t="s">
        <v>65</v>
      </c>
      <c r="E319" s="6" t="s">
        <v>25</v>
      </c>
      <c r="F319" s="7" t="s">
        <v>380</v>
      </c>
      <c r="G319" s="7">
        <v>408</v>
      </c>
      <c r="H319" s="6">
        <v>8</v>
      </c>
      <c r="I319" s="7">
        <v>4</v>
      </c>
      <c r="J319" s="6">
        <v>3</v>
      </c>
      <c r="K319" s="6">
        <v>9</v>
      </c>
      <c r="L319" s="7" t="s">
        <v>252</v>
      </c>
      <c r="M319" s="8" t="s">
        <v>472</v>
      </c>
      <c r="N319" s="8" t="s">
        <v>470</v>
      </c>
      <c r="O319" s="9" t="s">
        <v>257</v>
      </c>
      <c r="P319" s="10">
        <v>7.61</v>
      </c>
      <c r="Q319" s="10">
        <v>11.5</v>
      </c>
      <c r="R319" s="10">
        <v>37.299999999999997</v>
      </c>
      <c r="S319" s="15">
        <f t="shared" si="17"/>
        <v>7.6532386363636373</v>
      </c>
      <c r="T319" s="10">
        <f t="shared" si="16"/>
        <v>6012.9237600229326</v>
      </c>
      <c r="U319" s="11">
        <f t="shared" si="15"/>
        <v>5363.8927386466839</v>
      </c>
      <c r="V319" s="10">
        <v>72.84</v>
      </c>
      <c r="W319" s="10">
        <v>45.52</v>
      </c>
      <c r="X319" s="7">
        <v>2</v>
      </c>
    </row>
    <row r="320" spans="1:24" x14ac:dyDescent="0.25">
      <c r="A320" s="3">
        <v>2025</v>
      </c>
      <c r="B320" s="2" t="s">
        <v>345</v>
      </c>
      <c r="C320" s="6" t="s">
        <v>64</v>
      </c>
      <c r="D320" s="6" t="s">
        <v>65</v>
      </c>
      <c r="E320" s="6" t="s">
        <v>25</v>
      </c>
      <c r="F320" s="7" t="s">
        <v>381</v>
      </c>
      <c r="G320" s="7">
        <v>409</v>
      </c>
      <c r="H320" s="6">
        <v>9</v>
      </c>
      <c r="I320" s="7">
        <v>4</v>
      </c>
      <c r="J320" s="6">
        <v>3</v>
      </c>
      <c r="K320" s="6">
        <v>20</v>
      </c>
      <c r="L320" s="7" t="s">
        <v>252</v>
      </c>
      <c r="M320" s="8" t="s">
        <v>254</v>
      </c>
      <c r="N320" s="9" t="s">
        <v>61</v>
      </c>
      <c r="O320" s="9" t="s">
        <v>258</v>
      </c>
      <c r="P320" s="10">
        <v>6.85</v>
      </c>
      <c r="Q320" s="10">
        <v>11.7</v>
      </c>
      <c r="R320" s="10">
        <v>35.799999999999997</v>
      </c>
      <c r="S320" s="15">
        <f t="shared" si="17"/>
        <v>6.8733522727272724</v>
      </c>
      <c r="T320" s="10">
        <f t="shared" si="16"/>
        <v>5400.1900574900274</v>
      </c>
      <c r="U320" s="11">
        <f t="shared" si="15"/>
        <v>4817.2971074844136</v>
      </c>
      <c r="V320" s="10">
        <v>71.98</v>
      </c>
      <c r="W320" s="10">
        <v>44.03</v>
      </c>
      <c r="X320" s="7">
        <v>2</v>
      </c>
    </row>
    <row r="321" spans="1:24" x14ac:dyDescent="0.25">
      <c r="A321" s="3">
        <v>2025</v>
      </c>
      <c r="B321" s="2" t="s">
        <v>345</v>
      </c>
      <c r="C321" s="6" t="s">
        <v>64</v>
      </c>
      <c r="D321" s="6" t="s">
        <v>65</v>
      </c>
      <c r="E321" s="6" t="s">
        <v>25</v>
      </c>
      <c r="F321" s="7" t="s">
        <v>382</v>
      </c>
      <c r="G321" s="7">
        <v>502</v>
      </c>
      <c r="H321" s="6">
        <v>2</v>
      </c>
      <c r="I321" s="7">
        <v>5</v>
      </c>
      <c r="J321" s="6">
        <v>1</v>
      </c>
      <c r="K321" s="6">
        <v>11</v>
      </c>
      <c r="L321" s="7" t="s">
        <v>252</v>
      </c>
      <c r="M321" s="8" t="s">
        <v>472</v>
      </c>
      <c r="N321" s="9" t="s">
        <v>60</v>
      </c>
      <c r="O321" s="9" t="s">
        <v>257</v>
      </c>
      <c r="P321" s="10">
        <v>8.1</v>
      </c>
      <c r="Q321" s="10">
        <v>12.8</v>
      </c>
      <c r="R321" s="10">
        <v>40.799999999999997</v>
      </c>
      <c r="S321" s="15">
        <f t="shared" si="17"/>
        <v>8.0263636363636355</v>
      </c>
      <c r="T321" s="10">
        <f t="shared" si="16"/>
        <v>6306.0770621163001</v>
      </c>
      <c r="U321" s="11">
        <f t="shared" si="15"/>
        <v>5625.4032668298842</v>
      </c>
      <c r="V321" s="10">
        <v>73.22</v>
      </c>
      <c r="W321" s="10">
        <v>51.98</v>
      </c>
      <c r="X321" s="7">
        <v>2</v>
      </c>
    </row>
    <row r="322" spans="1:24" x14ac:dyDescent="0.25">
      <c r="A322" s="3">
        <v>2025</v>
      </c>
      <c r="B322" s="2" t="s">
        <v>345</v>
      </c>
      <c r="C322" s="6" t="s">
        <v>64</v>
      </c>
      <c r="D322" s="6" t="s">
        <v>65</v>
      </c>
      <c r="E322" s="6" t="s">
        <v>25</v>
      </c>
      <c r="F322" s="7" t="s">
        <v>383</v>
      </c>
      <c r="G322" s="7">
        <v>503</v>
      </c>
      <c r="H322" s="6">
        <v>3</v>
      </c>
      <c r="I322" s="7">
        <v>5</v>
      </c>
      <c r="J322" s="6">
        <v>1</v>
      </c>
      <c r="K322" s="6">
        <v>2</v>
      </c>
      <c r="L322" s="7" t="s">
        <v>252</v>
      </c>
      <c r="M322" s="8" t="s">
        <v>471</v>
      </c>
      <c r="N322" s="8" t="s">
        <v>471</v>
      </c>
      <c r="O322" s="8" t="s">
        <v>471</v>
      </c>
      <c r="P322" s="10">
        <v>8.1199999999999992</v>
      </c>
      <c r="Q322" s="10">
        <v>11.9</v>
      </c>
      <c r="R322" s="10">
        <v>39.6</v>
      </c>
      <c r="S322" s="15">
        <f t="shared" si="17"/>
        <v>8.1292272727272721</v>
      </c>
      <c r="T322" s="10">
        <f t="shared" si="16"/>
        <v>6386.8939858424828</v>
      </c>
      <c r="U322" s="11">
        <f t="shared" si="15"/>
        <v>5697.4968651583258</v>
      </c>
      <c r="V322" s="10">
        <v>72.84</v>
      </c>
      <c r="W322" s="10">
        <v>47.01</v>
      </c>
      <c r="X322" s="7">
        <v>2</v>
      </c>
    </row>
    <row r="323" spans="1:24" x14ac:dyDescent="0.25">
      <c r="A323" s="3">
        <v>2025</v>
      </c>
      <c r="B323" s="2" t="s">
        <v>345</v>
      </c>
      <c r="C323" s="6" t="s">
        <v>64</v>
      </c>
      <c r="D323" s="6" t="s">
        <v>65</v>
      </c>
      <c r="E323" s="6" t="s">
        <v>25</v>
      </c>
      <c r="F323" s="7" t="s">
        <v>384</v>
      </c>
      <c r="G323" s="7">
        <v>504</v>
      </c>
      <c r="H323" s="6">
        <v>4</v>
      </c>
      <c r="I323" s="7">
        <v>5</v>
      </c>
      <c r="J323" s="6">
        <v>2</v>
      </c>
      <c r="K323" s="6">
        <v>12</v>
      </c>
      <c r="L323" s="7" t="s">
        <v>252</v>
      </c>
      <c r="M323" s="8" t="s">
        <v>472</v>
      </c>
      <c r="N323" s="9" t="s">
        <v>62</v>
      </c>
      <c r="O323" s="9" t="s">
        <v>257</v>
      </c>
      <c r="P323" s="10">
        <v>8.85</v>
      </c>
      <c r="Q323" s="10">
        <v>12.6</v>
      </c>
      <c r="R323" s="10">
        <v>41.3</v>
      </c>
      <c r="S323" s="15">
        <f t="shared" si="17"/>
        <v>8.7896590909090904</v>
      </c>
      <c r="T323" s="10">
        <f t="shared" si="16"/>
        <v>6905.7757769514355</v>
      </c>
      <c r="U323" s="11">
        <f t="shared" si="15"/>
        <v>6160.3708982617627</v>
      </c>
      <c r="V323" s="10">
        <v>74.31</v>
      </c>
      <c r="W323" s="10">
        <v>53.22</v>
      </c>
      <c r="X323" s="7">
        <v>2</v>
      </c>
    </row>
    <row r="324" spans="1:24" x14ac:dyDescent="0.25">
      <c r="A324" s="3">
        <v>2025</v>
      </c>
      <c r="B324" s="2" t="s">
        <v>345</v>
      </c>
      <c r="C324" s="6" t="s">
        <v>64</v>
      </c>
      <c r="D324" s="6" t="s">
        <v>65</v>
      </c>
      <c r="E324" s="6" t="s">
        <v>25</v>
      </c>
      <c r="F324" s="7" t="s">
        <v>385</v>
      </c>
      <c r="G324" s="7">
        <v>505</v>
      </c>
      <c r="H324" s="6">
        <v>5</v>
      </c>
      <c r="I324" s="7">
        <v>5</v>
      </c>
      <c r="J324" s="6">
        <v>2</v>
      </c>
      <c r="K324" s="6">
        <v>18</v>
      </c>
      <c r="L324" s="7" t="s">
        <v>252</v>
      </c>
      <c r="M324" s="8" t="s">
        <v>254</v>
      </c>
      <c r="N324" s="9" t="s">
        <v>62</v>
      </c>
      <c r="O324" s="9" t="s">
        <v>258</v>
      </c>
      <c r="P324" s="10">
        <v>8.16</v>
      </c>
      <c r="Q324" s="10">
        <v>12.9</v>
      </c>
      <c r="R324" s="10">
        <v>40.299999999999997</v>
      </c>
      <c r="S324" s="15">
        <f t="shared" si="17"/>
        <v>8.0765454545454549</v>
      </c>
      <c r="T324" s="10">
        <f t="shared" si="16"/>
        <v>6345.5034358651765</v>
      </c>
      <c r="U324" s="11">
        <f t="shared" si="15"/>
        <v>5660.5739838226373</v>
      </c>
      <c r="V324" s="10">
        <v>74.59</v>
      </c>
      <c r="W324" s="10">
        <v>53.72</v>
      </c>
      <c r="X324" s="7">
        <v>2</v>
      </c>
    </row>
    <row r="325" spans="1:24" x14ac:dyDescent="0.25">
      <c r="A325" s="3">
        <v>2025</v>
      </c>
      <c r="B325" s="2" t="s">
        <v>345</v>
      </c>
      <c r="C325" s="6" t="s">
        <v>64</v>
      </c>
      <c r="D325" s="6" t="s">
        <v>65</v>
      </c>
      <c r="E325" s="6" t="s">
        <v>25</v>
      </c>
      <c r="F325" s="7" t="s">
        <v>386</v>
      </c>
      <c r="G325" s="7">
        <v>506</v>
      </c>
      <c r="H325" s="6">
        <v>6</v>
      </c>
      <c r="I325" s="7">
        <v>5</v>
      </c>
      <c r="J325" s="6">
        <v>2</v>
      </c>
      <c r="K325" s="6">
        <v>20</v>
      </c>
      <c r="L325" s="7" t="s">
        <v>252</v>
      </c>
      <c r="M325" s="8" t="s">
        <v>254</v>
      </c>
      <c r="N325" s="9" t="s">
        <v>61</v>
      </c>
      <c r="O325" s="9" t="s">
        <v>258</v>
      </c>
      <c r="P325" s="10">
        <v>8.19</v>
      </c>
      <c r="Q325" s="10">
        <v>12.1</v>
      </c>
      <c r="R325" s="10">
        <v>39.700000000000003</v>
      </c>
      <c r="S325" s="15">
        <f t="shared" si="17"/>
        <v>8.1806931818181816</v>
      </c>
      <c r="T325" s="10">
        <f t="shared" si="16"/>
        <v>6427.3292319268703</v>
      </c>
      <c r="U325" s="11">
        <f t="shared" si="15"/>
        <v>5733.5675574726765</v>
      </c>
      <c r="V325" s="10">
        <v>73.900000000000006</v>
      </c>
      <c r="W325" s="10">
        <v>51.34</v>
      </c>
      <c r="X325" s="7">
        <v>2</v>
      </c>
    </row>
    <row r="326" spans="1:24" x14ac:dyDescent="0.25">
      <c r="A326" s="3">
        <v>2025</v>
      </c>
      <c r="B326" s="2" t="s">
        <v>345</v>
      </c>
      <c r="C326" s="6" t="s">
        <v>64</v>
      </c>
      <c r="D326" s="6" t="s">
        <v>65</v>
      </c>
      <c r="E326" s="6" t="s">
        <v>25</v>
      </c>
      <c r="F326" s="7" t="s">
        <v>387</v>
      </c>
      <c r="G326" s="7">
        <v>507</v>
      </c>
      <c r="H326" s="6">
        <v>7</v>
      </c>
      <c r="I326" s="7">
        <v>5</v>
      </c>
      <c r="J326" s="6">
        <v>3</v>
      </c>
      <c r="K326" s="6">
        <v>3</v>
      </c>
      <c r="L326" s="7" t="s">
        <v>252</v>
      </c>
      <c r="M326" s="8" t="s">
        <v>31</v>
      </c>
      <c r="N326" s="8" t="s">
        <v>470</v>
      </c>
      <c r="O326" s="9" t="s">
        <v>259</v>
      </c>
      <c r="P326" s="10">
        <v>7.73</v>
      </c>
      <c r="Q326" s="10">
        <v>11.7</v>
      </c>
      <c r="R326" s="10">
        <v>38.4</v>
      </c>
      <c r="S326" s="15">
        <f t="shared" si="17"/>
        <v>7.7563522727272725</v>
      </c>
      <c r="T326" s="10">
        <f t="shared" si="16"/>
        <v>6093.9371013719565</v>
      </c>
      <c r="U326" s="11">
        <f t="shared" si="15"/>
        <v>5436.1615534094171</v>
      </c>
      <c r="V326" s="10">
        <v>72.5</v>
      </c>
      <c r="W326" s="10">
        <v>43.55</v>
      </c>
      <c r="X326" s="7">
        <v>2</v>
      </c>
    </row>
    <row r="327" spans="1:24" x14ac:dyDescent="0.25">
      <c r="A327" s="3">
        <v>2025</v>
      </c>
      <c r="B327" s="2" t="s">
        <v>345</v>
      </c>
      <c r="C327" s="6" t="s">
        <v>64</v>
      </c>
      <c r="D327" s="6" t="s">
        <v>65</v>
      </c>
      <c r="E327" s="6" t="s">
        <v>25</v>
      </c>
      <c r="F327" s="7" t="s">
        <v>388</v>
      </c>
      <c r="G327" s="7">
        <v>508</v>
      </c>
      <c r="H327" s="6">
        <v>8</v>
      </c>
      <c r="I327" s="7">
        <v>5</v>
      </c>
      <c r="J327" s="6">
        <v>3</v>
      </c>
      <c r="K327" s="6">
        <v>1</v>
      </c>
      <c r="L327" s="7" t="s">
        <v>252</v>
      </c>
      <c r="M327" s="8" t="s">
        <v>471</v>
      </c>
      <c r="N327" s="8" t="s">
        <v>471</v>
      </c>
      <c r="O327" s="8" t="s">
        <v>471</v>
      </c>
      <c r="P327" s="10">
        <v>7.13</v>
      </c>
      <c r="Q327" s="10">
        <v>11.3</v>
      </c>
      <c r="R327" s="10">
        <v>35.6</v>
      </c>
      <c r="S327" s="15">
        <f t="shared" si="17"/>
        <v>7.1867159090909087</v>
      </c>
      <c r="T327" s="10">
        <f t="shared" si="16"/>
        <v>5646.3906196501221</v>
      </c>
      <c r="U327" s="11">
        <f t="shared" si="15"/>
        <v>5036.9229434880663</v>
      </c>
      <c r="V327" s="10">
        <v>72.819999999999993</v>
      </c>
      <c r="W327" s="10">
        <v>43.85</v>
      </c>
      <c r="X327" s="7">
        <v>3</v>
      </c>
    </row>
    <row r="328" spans="1:24" x14ac:dyDescent="0.25">
      <c r="A328" s="3">
        <v>2025</v>
      </c>
      <c r="B328" s="2" t="s">
        <v>345</v>
      </c>
      <c r="C328" s="6" t="s">
        <v>64</v>
      </c>
      <c r="D328" s="6" t="s">
        <v>65</v>
      </c>
      <c r="E328" s="6" t="s">
        <v>25</v>
      </c>
      <c r="F328" s="7" t="s">
        <v>389</v>
      </c>
      <c r="G328" s="7">
        <v>509</v>
      </c>
      <c r="H328" s="6">
        <v>9</v>
      </c>
      <c r="I328" s="7">
        <v>5</v>
      </c>
      <c r="J328" s="6">
        <v>3</v>
      </c>
      <c r="K328" s="6">
        <v>2</v>
      </c>
      <c r="L328" s="7" t="s">
        <v>252</v>
      </c>
      <c r="M328" s="8" t="s">
        <v>471</v>
      </c>
      <c r="N328" s="8" t="s">
        <v>471</v>
      </c>
      <c r="O328" s="8" t="s">
        <v>471</v>
      </c>
      <c r="P328" s="10">
        <v>6.29</v>
      </c>
      <c r="Q328" s="10">
        <v>11.4</v>
      </c>
      <c r="R328" s="10">
        <v>37</v>
      </c>
      <c r="S328" s="15">
        <f t="shared" si="17"/>
        <v>6.3328863636363639</v>
      </c>
      <c r="T328" s="10">
        <f t="shared" si="16"/>
        <v>4975.5619411244788</v>
      </c>
      <c r="U328" s="11">
        <f t="shared" si="15"/>
        <v>4438.5030696917738</v>
      </c>
      <c r="V328" s="10">
        <v>70.790000000000006</v>
      </c>
      <c r="W328" s="10">
        <v>42.66</v>
      </c>
      <c r="X328" s="7">
        <v>2</v>
      </c>
    </row>
    <row r="329" spans="1:24" x14ac:dyDescent="0.25">
      <c r="A329" s="3">
        <v>2025</v>
      </c>
      <c r="B329" s="2" t="s">
        <v>345</v>
      </c>
      <c r="C329" s="6" t="s">
        <v>64</v>
      </c>
      <c r="D329" s="6" t="s">
        <v>65</v>
      </c>
      <c r="E329" s="6" t="s">
        <v>25</v>
      </c>
      <c r="F329" s="7" t="s">
        <v>390</v>
      </c>
      <c r="G329" s="7">
        <v>602</v>
      </c>
      <c r="H329" s="6">
        <v>2</v>
      </c>
      <c r="I329" s="7">
        <v>6</v>
      </c>
      <c r="J329" s="6">
        <v>1</v>
      </c>
      <c r="K329" s="6">
        <v>5</v>
      </c>
      <c r="L329" s="7" t="s">
        <v>252</v>
      </c>
      <c r="M329" s="8" t="s">
        <v>31</v>
      </c>
      <c r="N329" s="9" t="s">
        <v>60</v>
      </c>
      <c r="O329" s="9" t="s">
        <v>259</v>
      </c>
      <c r="P329" s="10">
        <v>8.7899999999999991</v>
      </c>
      <c r="Q329" s="10">
        <v>12.2</v>
      </c>
      <c r="R329" s="10">
        <v>40.6</v>
      </c>
      <c r="S329" s="15">
        <f t="shared" si="17"/>
        <v>8.7700227272727265</v>
      </c>
      <c r="T329" s="10">
        <f t="shared" si="16"/>
        <v>6890.3480654844825</v>
      </c>
      <c r="U329" s="11">
        <f t="shared" si="15"/>
        <v>6146.6084437863356</v>
      </c>
      <c r="V329" s="10">
        <v>73.56</v>
      </c>
      <c r="W329" s="10">
        <v>49.7</v>
      </c>
      <c r="X329" s="7">
        <v>2</v>
      </c>
    </row>
    <row r="330" spans="1:24" x14ac:dyDescent="0.25">
      <c r="A330" s="3">
        <v>2025</v>
      </c>
      <c r="B330" s="2" t="s">
        <v>345</v>
      </c>
      <c r="C330" s="6" t="s">
        <v>64</v>
      </c>
      <c r="D330" s="6" t="s">
        <v>65</v>
      </c>
      <c r="E330" s="6" t="s">
        <v>25</v>
      </c>
      <c r="F330" s="7" t="s">
        <v>391</v>
      </c>
      <c r="G330" s="7">
        <v>603</v>
      </c>
      <c r="H330" s="6">
        <v>3</v>
      </c>
      <c r="I330" s="7">
        <v>6</v>
      </c>
      <c r="J330" s="6">
        <v>1</v>
      </c>
      <c r="K330" s="6">
        <v>8</v>
      </c>
      <c r="L330" s="7" t="s">
        <v>252</v>
      </c>
      <c r="M330" s="8" t="s">
        <v>31</v>
      </c>
      <c r="N330" s="9" t="s">
        <v>61</v>
      </c>
      <c r="O330" s="9" t="s">
        <v>259</v>
      </c>
      <c r="P330" s="10">
        <v>8.14</v>
      </c>
      <c r="Q330" s="10">
        <v>12.5</v>
      </c>
      <c r="R330" s="10">
        <v>40.200000000000003</v>
      </c>
      <c r="S330" s="15">
        <f t="shared" si="17"/>
        <v>8.09375</v>
      </c>
      <c r="T330" s="10">
        <f t="shared" si="16"/>
        <v>6359.0205395462899</v>
      </c>
      <c r="U330" s="11">
        <f t="shared" si="15"/>
        <v>5672.6320602553878</v>
      </c>
      <c r="V330" s="10">
        <v>74.06</v>
      </c>
      <c r="W330" s="10">
        <v>51.3</v>
      </c>
      <c r="X330" s="7">
        <v>2</v>
      </c>
    </row>
    <row r="331" spans="1:24" x14ac:dyDescent="0.25">
      <c r="A331" s="3">
        <v>2025</v>
      </c>
      <c r="B331" s="2" t="s">
        <v>345</v>
      </c>
      <c r="C331" s="6" t="s">
        <v>64</v>
      </c>
      <c r="D331" s="6" t="s">
        <v>65</v>
      </c>
      <c r="E331" s="6" t="s">
        <v>25</v>
      </c>
      <c r="F331" s="7" t="s">
        <v>392</v>
      </c>
      <c r="G331" s="7">
        <v>604</v>
      </c>
      <c r="H331" s="6">
        <v>4</v>
      </c>
      <c r="I331" s="7">
        <v>6</v>
      </c>
      <c r="J331" s="6">
        <v>2</v>
      </c>
      <c r="K331" s="6">
        <v>19</v>
      </c>
      <c r="L331" s="7" t="s">
        <v>252</v>
      </c>
      <c r="M331" s="8" t="s">
        <v>254</v>
      </c>
      <c r="N331" s="9" t="s">
        <v>59</v>
      </c>
      <c r="O331" s="9" t="s">
        <v>258</v>
      </c>
      <c r="P331" s="10">
        <v>8.6999999999999993</v>
      </c>
      <c r="Q331" s="10">
        <v>12.8</v>
      </c>
      <c r="R331" s="10">
        <v>40.6</v>
      </c>
      <c r="S331" s="15">
        <f t="shared" si="17"/>
        <v>8.6209090909090893</v>
      </c>
      <c r="T331" s="10">
        <f t="shared" si="16"/>
        <v>6773.1938815323219</v>
      </c>
      <c r="U331" s="11">
        <f t="shared" ref="U331:U394" si="18">T331/1.121</f>
        <v>6042.0998051135794</v>
      </c>
      <c r="V331" s="10">
        <v>75</v>
      </c>
      <c r="W331" s="10">
        <v>54.95</v>
      </c>
      <c r="X331" s="7">
        <v>1</v>
      </c>
    </row>
    <row r="332" spans="1:24" x14ac:dyDescent="0.25">
      <c r="A332" s="3">
        <v>2025</v>
      </c>
      <c r="B332" s="2" t="s">
        <v>345</v>
      </c>
      <c r="C332" s="6" t="s">
        <v>64</v>
      </c>
      <c r="D332" s="6" t="s">
        <v>65</v>
      </c>
      <c r="E332" s="6" t="s">
        <v>25</v>
      </c>
      <c r="F332" s="7" t="s">
        <v>393</v>
      </c>
      <c r="G332" s="7">
        <v>605</v>
      </c>
      <c r="H332" s="6">
        <v>5</v>
      </c>
      <c r="I332" s="7">
        <v>6</v>
      </c>
      <c r="J332" s="6">
        <v>2</v>
      </c>
      <c r="K332" s="6">
        <v>15</v>
      </c>
      <c r="L332" s="7" t="s">
        <v>252</v>
      </c>
      <c r="M332" s="8" t="s">
        <v>254</v>
      </c>
      <c r="N332" s="8" t="s">
        <v>470</v>
      </c>
      <c r="O332" s="9" t="s">
        <v>258</v>
      </c>
      <c r="P332" s="10">
        <v>8.6300000000000008</v>
      </c>
      <c r="Q332" s="10">
        <v>12.6</v>
      </c>
      <c r="R332" s="10">
        <v>40.9</v>
      </c>
      <c r="S332" s="15">
        <f t="shared" si="17"/>
        <v>8.5711590909090916</v>
      </c>
      <c r="T332" s="10">
        <f t="shared" si="16"/>
        <v>6734.1067745865421</v>
      </c>
      <c r="U332" s="11">
        <f t="shared" si="18"/>
        <v>6007.2317346891541</v>
      </c>
      <c r="V332" s="10">
        <v>74.27</v>
      </c>
      <c r="W332" s="10">
        <v>51.31</v>
      </c>
      <c r="X332" s="7">
        <v>2</v>
      </c>
    </row>
    <row r="333" spans="1:24" x14ac:dyDescent="0.25">
      <c r="A333" s="3">
        <v>2025</v>
      </c>
      <c r="B333" s="2" t="s">
        <v>345</v>
      </c>
      <c r="C333" s="6" t="s">
        <v>64</v>
      </c>
      <c r="D333" s="6" t="s">
        <v>65</v>
      </c>
      <c r="E333" s="6" t="s">
        <v>25</v>
      </c>
      <c r="F333" s="7" t="s">
        <v>394</v>
      </c>
      <c r="G333" s="7">
        <v>606</v>
      </c>
      <c r="H333" s="6">
        <v>6</v>
      </c>
      <c r="I333" s="7">
        <v>6</v>
      </c>
      <c r="J333" s="6">
        <v>2</v>
      </c>
      <c r="K333" s="6">
        <v>14</v>
      </c>
      <c r="L333" s="7" t="s">
        <v>252</v>
      </c>
      <c r="M333" s="8" t="s">
        <v>472</v>
      </c>
      <c r="N333" s="9" t="s">
        <v>61</v>
      </c>
      <c r="O333" s="9" t="s">
        <v>257</v>
      </c>
      <c r="P333" s="10">
        <v>8.19</v>
      </c>
      <c r="Q333" s="10">
        <v>12.3</v>
      </c>
      <c r="R333" s="10">
        <v>40.1</v>
      </c>
      <c r="S333" s="15">
        <f t="shared" si="17"/>
        <v>8.1620795454545458</v>
      </c>
      <c r="T333" s="10">
        <f t="shared" si="16"/>
        <v>6412.7050470988233</v>
      </c>
      <c r="U333" s="11">
        <f t="shared" si="18"/>
        <v>5720.5218975011803</v>
      </c>
      <c r="V333" s="10">
        <v>74.48</v>
      </c>
      <c r="W333" s="10">
        <v>50.71</v>
      </c>
      <c r="X333" s="7">
        <v>2</v>
      </c>
    </row>
    <row r="334" spans="1:24" x14ac:dyDescent="0.25">
      <c r="A334" s="3">
        <v>2025</v>
      </c>
      <c r="B334" s="2" t="s">
        <v>345</v>
      </c>
      <c r="C334" s="6" t="s">
        <v>64</v>
      </c>
      <c r="D334" s="6" t="s">
        <v>65</v>
      </c>
      <c r="E334" s="6" t="s">
        <v>25</v>
      </c>
      <c r="F334" s="7" t="s">
        <v>395</v>
      </c>
      <c r="G334" s="7">
        <v>607</v>
      </c>
      <c r="H334" s="6">
        <v>7</v>
      </c>
      <c r="I334" s="7">
        <v>6</v>
      </c>
      <c r="J334" s="6">
        <v>3</v>
      </c>
      <c r="K334" s="6">
        <v>14</v>
      </c>
      <c r="L334" s="7" t="s">
        <v>252</v>
      </c>
      <c r="M334" s="8" t="s">
        <v>472</v>
      </c>
      <c r="N334" s="9" t="s">
        <v>61</v>
      </c>
      <c r="O334" s="9" t="s">
        <v>257</v>
      </c>
      <c r="P334" s="10">
        <v>7.52</v>
      </c>
      <c r="Q334" s="10">
        <v>11.8</v>
      </c>
      <c r="R334" s="10">
        <v>39</v>
      </c>
      <c r="S334" s="15">
        <f t="shared" si="17"/>
        <v>7.5370909090909084</v>
      </c>
      <c r="T334" s="10">
        <f t="shared" si="16"/>
        <v>5921.6699180647665</v>
      </c>
      <c r="U334" s="11">
        <f t="shared" si="18"/>
        <v>5282.4887761505497</v>
      </c>
      <c r="V334" s="10">
        <v>74.290000000000006</v>
      </c>
      <c r="W334" s="10">
        <v>50.69</v>
      </c>
      <c r="X334" s="7">
        <v>1</v>
      </c>
    </row>
    <row r="335" spans="1:24" x14ac:dyDescent="0.25">
      <c r="A335" s="3">
        <v>2025</v>
      </c>
      <c r="B335" s="2" t="s">
        <v>345</v>
      </c>
      <c r="C335" s="6" t="s">
        <v>64</v>
      </c>
      <c r="D335" s="6" t="s">
        <v>65</v>
      </c>
      <c r="E335" s="6" t="s">
        <v>25</v>
      </c>
      <c r="F335" s="7" t="s">
        <v>396</v>
      </c>
      <c r="G335" s="7">
        <v>608</v>
      </c>
      <c r="H335" s="6">
        <v>8</v>
      </c>
      <c r="I335" s="7">
        <v>6</v>
      </c>
      <c r="J335" s="6">
        <v>3</v>
      </c>
      <c r="K335" s="6">
        <v>16</v>
      </c>
      <c r="L335" s="7" t="s">
        <v>252</v>
      </c>
      <c r="M335" s="8" t="s">
        <v>254</v>
      </c>
      <c r="N335" s="9" t="s">
        <v>58</v>
      </c>
      <c r="O335" s="9" t="s">
        <v>258</v>
      </c>
      <c r="P335" s="10">
        <v>7.91</v>
      </c>
      <c r="Q335" s="10">
        <v>12.2</v>
      </c>
      <c r="R335" s="10">
        <v>40.200000000000003</v>
      </c>
      <c r="S335" s="15">
        <f t="shared" si="17"/>
        <v>7.8920227272727272</v>
      </c>
      <c r="T335" s="10">
        <f t="shared" si="16"/>
        <v>6200.5293740594161</v>
      </c>
      <c r="U335" s="11">
        <f t="shared" si="18"/>
        <v>5531.2483265472047</v>
      </c>
      <c r="V335" s="10">
        <v>73.03</v>
      </c>
      <c r="W335" s="10">
        <v>48.55</v>
      </c>
      <c r="X335" s="7">
        <v>2</v>
      </c>
    </row>
    <row r="336" spans="1:24" x14ac:dyDescent="0.25">
      <c r="A336" s="3">
        <v>2025</v>
      </c>
      <c r="B336" s="2" t="s">
        <v>345</v>
      </c>
      <c r="C336" s="6" t="s">
        <v>64</v>
      </c>
      <c r="D336" s="6" t="s">
        <v>65</v>
      </c>
      <c r="E336" s="6" t="s">
        <v>25</v>
      </c>
      <c r="F336" s="7" t="s">
        <v>397</v>
      </c>
      <c r="G336" s="7">
        <v>609</v>
      </c>
      <c r="H336" s="6">
        <v>9</v>
      </c>
      <c r="I336" s="7">
        <v>6</v>
      </c>
      <c r="J336" s="6">
        <v>3</v>
      </c>
      <c r="K336" s="6">
        <v>17</v>
      </c>
      <c r="L336" s="7" t="s">
        <v>252</v>
      </c>
      <c r="M336" s="8" t="s">
        <v>254</v>
      </c>
      <c r="N336" s="9" t="s">
        <v>60</v>
      </c>
      <c r="O336" s="9" t="s">
        <v>258</v>
      </c>
      <c r="P336" s="10">
        <v>7.69</v>
      </c>
      <c r="Q336" s="10">
        <v>12.6</v>
      </c>
      <c r="R336" s="10">
        <v>39.5</v>
      </c>
      <c r="S336" s="15">
        <f t="shared" si="17"/>
        <v>7.6375681818181826</v>
      </c>
      <c r="T336" s="10">
        <f t="shared" si="16"/>
        <v>6000.6119463001742</v>
      </c>
      <c r="U336" s="11">
        <f t="shared" si="18"/>
        <v>5352.9098539698252</v>
      </c>
      <c r="V336" s="10">
        <v>72.61</v>
      </c>
      <c r="W336" s="10">
        <v>48.18</v>
      </c>
      <c r="X336" s="7">
        <v>1</v>
      </c>
    </row>
    <row r="337" spans="1:24" x14ac:dyDescent="0.25">
      <c r="A337" s="3">
        <v>2025</v>
      </c>
      <c r="B337" s="2" t="s">
        <v>345</v>
      </c>
      <c r="C337" s="6" t="s">
        <v>64</v>
      </c>
      <c r="D337" s="6" t="s">
        <v>65</v>
      </c>
      <c r="E337" s="6" t="s">
        <v>25</v>
      </c>
      <c r="F337" s="7" t="s">
        <v>398</v>
      </c>
      <c r="G337" s="7">
        <v>702</v>
      </c>
      <c r="H337" s="6">
        <v>2</v>
      </c>
      <c r="I337" s="7">
        <v>7</v>
      </c>
      <c r="J337" s="6">
        <v>1</v>
      </c>
      <c r="K337" s="6">
        <v>1</v>
      </c>
      <c r="L337" s="7" t="s">
        <v>252</v>
      </c>
      <c r="M337" s="8" t="s">
        <v>471</v>
      </c>
      <c r="N337" s="8" t="s">
        <v>471</v>
      </c>
      <c r="O337" s="8" t="s">
        <v>471</v>
      </c>
      <c r="P337" s="10">
        <v>7.62</v>
      </c>
      <c r="Q337" s="10">
        <v>11.9</v>
      </c>
      <c r="R337" s="10">
        <v>39.200000000000003</v>
      </c>
      <c r="S337" s="15">
        <f t="shared" si="17"/>
        <v>7.6286590909090908</v>
      </c>
      <c r="T337" s="10">
        <f t="shared" si="16"/>
        <v>5993.6123364679452</v>
      </c>
      <c r="U337" s="11">
        <f t="shared" si="18"/>
        <v>5346.6657774022706</v>
      </c>
      <c r="V337" s="10">
        <v>73.47</v>
      </c>
      <c r="W337" s="10">
        <v>49.89</v>
      </c>
      <c r="X337" s="7">
        <v>2</v>
      </c>
    </row>
    <row r="338" spans="1:24" x14ac:dyDescent="0.25">
      <c r="A338" s="3">
        <v>2025</v>
      </c>
      <c r="B338" s="2" t="s">
        <v>345</v>
      </c>
      <c r="C338" s="6" t="s">
        <v>64</v>
      </c>
      <c r="D338" s="6" t="s">
        <v>65</v>
      </c>
      <c r="E338" s="6" t="s">
        <v>25</v>
      </c>
      <c r="F338" s="7" t="s">
        <v>399</v>
      </c>
      <c r="G338" s="7">
        <v>703</v>
      </c>
      <c r="H338" s="6">
        <v>3</v>
      </c>
      <c r="I338" s="7">
        <v>7</v>
      </c>
      <c r="J338" s="6">
        <v>1</v>
      </c>
      <c r="K338" s="6">
        <v>17</v>
      </c>
      <c r="L338" s="7" t="s">
        <v>252</v>
      </c>
      <c r="M338" s="8" t="s">
        <v>254</v>
      </c>
      <c r="N338" s="9" t="s">
        <v>60</v>
      </c>
      <c r="O338" s="9" t="s">
        <v>258</v>
      </c>
      <c r="P338" s="10">
        <v>8.6999999999999993</v>
      </c>
      <c r="Q338" s="10">
        <v>11.8</v>
      </c>
      <c r="R338" s="10">
        <v>37.700000000000003</v>
      </c>
      <c r="S338" s="15">
        <f t="shared" si="17"/>
        <v>8.7197727272727263</v>
      </c>
      <c r="T338" s="10">
        <f t="shared" si="16"/>
        <v>6850.8681232930139</v>
      </c>
      <c r="U338" s="11">
        <f t="shared" si="18"/>
        <v>6111.3899404933218</v>
      </c>
      <c r="V338" s="10">
        <v>73.540000000000006</v>
      </c>
      <c r="W338" s="10">
        <v>50.62</v>
      </c>
      <c r="X338" s="7">
        <v>2</v>
      </c>
    </row>
    <row r="339" spans="1:24" x14ac:dyDescent="0.25">
      <c r="A339" s="3">
        <v>2025</v>
      </c>
      <c r="B339" s="2" t="s">
        <v>345</v>
      </c>
      <c r="C339" s="6" t="s">
        <v>64</v>
      </c>
      <c r="D339" s="6" t="s">
        <v>65</v>
      </c>
      <c r="E339" s="6" t="s">
        <v>25</v>
      </c>
      <c r="F339" s="7" t="s">
        <v>400</v>
      </c>
      <c r="G339" s="7">
        <v>704</v>
      </c>
      <c r="H339" s="6">
        <v>4</v>
      </c>
      <c r="I339" s="7">
        <v>7</v>
      </c>
      <c r="J339" s="6">
        <v>2</v>
      </c>
      <c r="K339" s="6">
        <v>6</v>
      </c>
      <c r="L339" s="7" t="s">
        <v>252</v>
      </c>
      <c r="M339" s="8" t="s">
        <v>31</v>
      </c>
      <c r="N339" s="9" t="s">
        <v>62</v>
      </c>
      <c r="O339" s="9" t="s">
        <v>259</v>
      </c>
      <c r="P339" s="10">
        <v>7.97</v>
      </c>
      <c r="Q339" s="10">
        <v>12.4</v>
      </c>
      <c r="R339" s="10">
        <v>39.5</v>
      </c>
      <c r="S339" s="15">
        <f t="shared" si="17"/>
        <v>7.9337727272727276</v>
      </c>
      <c r="T339" s="10">
        <f t="shared" ref="T339:T402" si="19">((100000*S339*12%/2.205))/((4.66*16)/10.764)</f>
        <v>6233.331117074219</v>
      </c>
      <c r="U339" s="11">
        <f t="shared" si="18"/>
        <v>5560.5094710742369</v>
      </c>
      <c r="V339" s="10">
        <v>74.790000000000006</v>
      </c>
      <c r="W339" s="10">
        <v>55.15</v>
      </c>
      <c r="X339" s="7">
        <v>1</v>
      </c>
    </row>
    <row r="340" spans="1:24" x14ac:dyDescent="0.25">
      <c r="A340" s="3">
        <v>2025</v>
      </c>
      <c r="B340" s="2" t="s">
        <v>345</v>
      </c>
      <c r="C340" s="6" t="s">
        <v>64</v>
      </c>
      <c r="D340" s="6" t="s">
        <v>65</v>
      </c>
      <c r="E340" s="6" t="s">
        <v>25</v>
      </c>
      <c r="F340" s="7" t="s">
        <v>401</v>
      </c>
      <c r="G340" s="7">
        <v>705</v>
      </c>
      <c r="H340" s="6">
        <v>5</v>
      </c>
      <c r="I340" s="7">
        <v>7</v>
      </c>
      <c r="J340" s="6">
        <v>2</v>
      </c>
      <c r="K340" s="6">
        <v>16</v>
      </c>
      <c r="L340" s="7" t="s">
        <v>252</v>
      </c>
      <c r="M340" s="8" t="s">
        <v>254</v>
      </c>
      <c r="N340" s="9" t="s">
        <v>58</v>
      </c>
      <c r="O340" s="9" t="s">
        <v>258</v>
      </c>
      <c r="P340" s="10">
        <v>7.9</v>
      </c>
      <c r="Q340" s="10">
        <v>12.2</v>
      </c>
      <c r="R340" s="10">
        <v>38.1</v>
      </c>
      <c r="S340" s="15">
        <f t="shared" ref="S340:S403" si="20">P340*(1-Q340/100)/(1-0.12)</f>
        <v>7.8820454545454552</v>
      </c>
      <c r="T340" s="10">
        <f t="shared" si="19"/>
        <v>6192.6905252932229</v>
      </c>
      <c r="U340" s="11">
        <f t="shared" si="18"/>
        <v>5524.255597942215</v>
      </c>
      <c r="V340" s="10">
        <v>73.27</v>
      </c>
      <c r="W340" s="10">
        <v>51.73</v>
      </c>
      <c r="X340" s="7">
        <v>2</v>
      </c>
    </row>
    <row r="341" spans="1:24" x14ac:dyDescent="0.25">
      <c r="A341" s="3">
        <v>2025</v>
      </c>
      <c r="B341" s="2" t="s">
        <v>345</v>
      </c>
      <c r="C341" s="6" t="s">
        <v>64</v>
      </c>
      <c r="D341" s="6" t="s">
        <v>65</v>
      </c>
      <c r="E341" s="6" t="s">
        <v>25</v>
      </c>
      <c r="F341" s="7" t="s">
        <v>402</v>
      </c>
      <c r="G341" s="7">
        <v>706</v>
      </c>
      <c r="H341" s="6">
        <v>6</v>
      </c>
      <c r="I341" s="7">
        <v>7</v>
      </c>
      <c r="J341" s="6">
        <v>2</v>
      </c>
      <c r="K341" s="6">
        <v>9</v>
      </c>
      <c r="L341" s="7" t="s">
        <v>252</v>
      </c>
      <c r="M341" s="8" t="s">
        <v>472</v>
      </c>
      <c r="N341" s="8" t="s">
        <v>470</v>
      </c>
      <c r="O341" s="9" t="s">
        <v>257</v>
      </c>
      <c r="P341" s="10">
        <v>7.85</v>
      </c>
      <c r="Q341" s="10">
        <v>11.7</v>
      </c>
      <c r="R341" s="10">
        <v>38.9</v>
      </c>
      <c r="S341" s="15">
        <f t="shared" si="20"/>
        <v>7.8767613636363629</v>
      </c>
      <c r="T341" s="10">
        <f t="shared" si="19"/>
        <v>6188.5389709922192</v>
      </c>
      <c r="U341" s="11">
        <f t="shared" si="18"/>
        <v>5520.5521596719173</v>
      </c>
      <c r="V341" s="10">
        <v>73.400000000000006</v>
      </c>
      <c r="W341" s="10">
        <v>49.7</v>
      </c>
      <c r="X341" s="7">
        <v>1</v>
      </c>
    </row>
    <row r="342" spans="1:24" x14ac:dyDescent="0.25">
      <c r="A342" s="3">
        <v>2025</v>
      </c>
      <c r="B342" s="2" t="s">
        <v>345</v>
      </c>
      <c r="C342" s="6" t="s">
        <v>64</v>
      </c>
      <c r="D342" s="6" t="s">
        <v>65</v>
      </c>
      <c r="E342" s="6" t="s">
        <v>25</v>
      </c>
      <c r="F342" s="7" t="s">
        <v>403</v>
      </c>
      <c r="G342" s="7">
        <v>707</v>
      </c>
      <c r="H342" s="6">
        <v>7</v>
      </c>
      <c r="I342" s="7">
        <v>7</v>
      </c>
      <c r="J342" s="6">
        <v>3</v>
      </c>
      <c r="K342" s="6">
        <v>6</v>
      </c>
      <c r="L342" s="7" t="s">
        <v>252</v>
      </c>
      <c r="M342" s="8" t="s">
        <v>31</v>
      </c>
      <c r="N342" s="9" t="s">
        <v>62</v>
      </c>
      <c r="O342" s="9" t="s">
        <v>259</v>
      </c>
      <c r="P342" s="10">
        <v>7.44</v>
      </c>
      <c r="Q342" s="10">
        <v>11.9</v>
      </c>
      <c r="R342" s="10">
        <v>37.1</v>
      </c>
      <c r="S342" s="15">
        <f t="shared" si="20"/>
        <v>7.4484545454545454</v>
      </c>
      <c r="T342" s="10">
        <f t="shared" si="19"/>
        <v>5852.0309426931126</v>
      </c>
      <c r="U342" s="11">
        <f t="shared" si="18"/>
        <v>5220.3665858100912</v>
      </c>
      <c r="V342" s="10">
        <v>74.709999999999994</v>
      </c>
      <c r="W342" s="10">
        <v>52.75</v>
      </c>
      <c r="X342" s="7">
        <v>2</v>
      </c>
    </row>
    <row r="343" spans="1:24" x14ac:dyDescent="0.25">
      <c r="A343" s="3">
        <v>2025</v>
      </c>
      <c r="B343" s="2" t="s">
        <v>345</v>
      </c>
      <c r="C343" s="6" t="s">
        <v>64</v>
      </c>
      <c r="D343" s="6" t="s">
        <v>65</v>
      </c>
      <c r="E343" s="6" t="s">
        <v>25</v>
      </c>
      <c r="F343" s="7" t="s">
        <v>404</v>
      </c>
      <c r="G343" s="7">
        <v>708</v>
      </c>
      <c r="H343" s="6">
        <v>8</v>
      </c>
      <c r="I343" s="7">
        <v>7</v>
      </c>
      <c r="J343" s="6">
        <v>3</v>
      </c>
      <c r="K343" s="6">
        <v>5</v>
      </c>
      <c r="L343" s="7" t="s">
        <v>252</v>
      </c>
      <c r="M343" s="8" t="s">
        <v>31</v>
      </c>
      <c r="N343" s="9" t="s">
        <v>60</v>
      </c>
      <c r="O343" s="9" t="s">
        <v>259</v>
      </c>
      <c r="P343" s="10">
        <v>7.9</v>
      </c>
      <c r="Q343" s="10">
        <v>12.2</v>
      </c>
      <c r="R343" s="10">
        <v>39.5</v>
      </c>
      <c r="S343" s="15">
        <f t="shared" si="20"/>
        <v>7.8820454545454552</v>
      </c>
      <c r="T343" s="10">
        <f t="shared" si="19"/>
        <v>6192.6905252932229</v>
      </c>
      <c r="U343" s="11">
        <f t="shared" si="18"/>
        <v>5524.255597942215</v>
      </c>
      <c r="V343" s="10">
        <v>73.89</v>
      </c>
      <c r="W343" s="10">
        <v>51.57</v>
      </c>
      <c r="X343" s="7">
        <v>2</v>
      </c>
    </row>
    <row r="344" spans="1:24" x14ac:dyDescent="0.25">
      <c r="A344" s="3">
        <v>2025</v>
      </c>
      <c r="B344" s="2" t="s">
        <v>345</v>
      </c>
      <c r="C344" s="6" t="s">
        <v>64</v>
      </c>
      <c r="D344" s="6" t="s">
        <v>65</v>
      </c>
      <c r="E344" s="6" t="s">
        <v>25</v>
      </c>
      <c r="F344" s="7" t="s">
        <v>405</v>
      </c>
      <c r="G344" s="7">
        <v>709</v>
      </c>
      <c r="H344" s="6">
        <v>9</v>
      </c>
      <c r="I344" s="7">
        <v>7</v>
      </c>
      <c r="J344" s="6">
        <v>3</v>
      </c>
      <c r="K344" s="6">
        <v>15</v>
      </c>
      <c r="L344" s="7" t="s">
        <v>252</v>
      </c>
      <c r="M344" s="8" t="s">
        <v>254</v>
      </c>
      <c r="N344" s="8" t="s">
        <v>470</v>
      </c>
      <c r="O344" s="9" t="s">
        <v>258</v>
      </c>
      <c r="P344" s="10">
        <v>7.94</v>
      </c>
      <c r="Q344" s="10">
        <v>11.4</v>
      </c>
      <c r="R344" s="10">
        <v>35.799999999999997</v>
      </c>
      <c r="S344" s="15">
        <f t="shared" si="20"/>
        <v>7.9941363636363638</v>
      </c>
      <c r="T344" s="10">
        <f t="shared" si="19"/>
        <v>6280.757044917068</v>
      </c>
      <c r="U344" s="11">
        <f t="shared" si="18"/>
        <v>5602.8162755727635</v>
      </c>
      <c r="V344" s="10">
        <v>71.010000000000005</v>
      </c>
      <c r="W344" s="10">
        <v>44.72</v>
      </c>
      <c r="X344" s="7">
        <v>2</v>
      </c>
    </row>
    <row r="345" spans="1:24" x14ac:dyDescent="0.25">
      <c r="A345" s="3">
        <v>2025</v>
      </c>
      <c r="B345" s="2" t="s">
        <v>406</v>
      </c>
      <c r="C345" s="6" t="s">
        <v>91</v>
      </c>
      <c r="D345" s="6" t="s">
        <v>92</v>
      </c>
      <c r="E345" s="6" t="s">
        <v>26</v>
      </c>
      <c r="F345" s="7" t="s">
        <v>407</v>
      </c>
      <c r="G345" s="7">
        <v>101</v>
      </c>
      <c r="H345" s="6">
        <v>1</v>
      </c>
      <c r="I345" s="7">
        <v>1</v>
      </c>
      <c r="J345" s="6">
        <v>1</v>
      </c>
      <c r="K345" s="6">
        <v>3</v>
      </c>
      <c r="L345" s="7" t="s">
        <v>252</v>
      </c>
      <c r="M345" s="8" t="s">
        <v>31</v>
      </c>
      <c r="N345" s="8" t="s">
        <v>470</v>
      </c>
      <c r="O345" s="9" t="s">
        <v>259</v>
      </c>
      <c r="P345" s="10">
        <v>11.72</v>
      </c>
      <c r="Q345" s="10">
        <v>11.4</v>
      </c>
      <c r="R345" s="10">
        <v>44.8</v>
      </c>
      <c r="S345" s="15">
        <f t="shared" si="20"/>
        <v>11.799909090909091</v>
      </c>
      <c r="T345" s="10">
        <f t="shared" si="19"/>
        <v>9270.8403736055479</v>
      </c>
      <c r="U345" s="11">
        <f t="shared" si="18"/>
        <v>8270.1519835910331</v>
      </c>
      <c r="V345" s="10">
        <v>73.209999999999994</v>
      </c>
      <c r="W345" s="10">
        <v>61.06</v>
      </c>
      <c r="X345" s="7">
        <v>1</v>
      </c>
    </row>
    <row r="346" spans="1:24" x14ac:dyDescent="0.25">
      <c r="A346" s="3">
        <v>2025</v>
      </c>
      <c r="B346" s="2" t="s">
        <v>406</v>
      </c>
      <c r="C346" s="6" t="s">
        <v>91</v>
      </c>
      <c r="D346" s="6" t="s">
        <v>92</v>
      </c>
      <c r="E346" s="6" t="s">
        <v>26</v>
      </c>
      <c r="F346" s="7" t="s">
        <v>408</v>
      </c>
      <c r="G346" s="7">
        <v>102</v>
      </c>
      <c r="H346" s="6">
        <v>2</v>
      </c>
      <c r="I346" s="7">
        <v>1</v>
      </c>
      <c r="J346" s="6">
        <v>1</v>
      </c>
      <c r="K346" s="6">
        <v>15</v>
      </c>
      <c r="L346" s="7" t="s">
        <v>252</v>
      </c>
      <c r="M346" s="8" t="s">
        <v>254</v>
      </c>
      <c r="N346" s="8" t="s">
        <v>470</v>
      </c>
      <c r="O346" s="9" t="s">
        <v>258</v>
      </c>
      <c r="P346" s="10">
        <v>13.6</v>
      </c>
      <c r="Q346" s="10">
        <v>10.7</v>
      </c>
      <c r="R346" s="10">
        <v>45</v>
      </c>
      <c r="S346" s="15">
        <f t="shared" si="20"/>
        <v>13.800909090909091</v>
      </c>
      <c r="T346" s="10">
        <f t="shared" si="19"/>
        <v>10842.96702684195</v>
      </c>
      <c r="U346" s="11">
        <f t="shared" si="18"/>
        <v>9672.5843236770306</v>
      </c>
      <c r="V346" s="10">
        <v>73.81</v>
      </c>
      <c r="W346" s="10">
        <v>62.82</v>
      </c>
      <c r="X346" s="7">
        <v>0</v>
      </c>
    </row>
    <row r="347" spans="1:24" x14ac:dyDescent="0.25">
      <c r="A347" s="3">
        <v>2025</v>
      </c>
      <c r="B347" s="2" t="s">
        <v>406</v>
      </c>
      <c r="C347" s="6" t="s">
        <v>91</v>
      </c>
      <c r="D347" s="6" t="s">
        <v>92</v>
      </c>
      <c r="E347" s="6" t="s">
        <v>26</v>
      </c>
      <c r="F347" s="7" t="s">
        <v>409</v>
      </c>
      <c r="G347" s="7">
        <v>103</v>
      </c>
      <c r="H347" s="6">
        <v>3</v>
      </c>
      <c r="I347" s="7">
        <v>1</v>
      </c>
      <c r="J347" s="6">
        <v>2</v>
      </c>
      <c r="K347" s="6">
        <v>2</v>
      </c>
      <c r="L347" s="7" t="s">
        <v>252</v>
      </c>
      <c r="M347" s="8" t="s">
        <v>471</v>
      </c>
      <c r="N347" s="8" t="s">
        <v>471</v>
      </c>
      <c r="O347" s="8" t="s">
        <v>471</v>
      </c>
      <c r="P347" s="10">
        <v>10.6</v>
      </c>
      <c r="Q347" s="10">
        <v>12.2</v>
      </c>
      <c r="R347" s="10">
        <v>44.4</v>
      </c>
      <c r="S347" s="15">
        <f t="shared" si="20"/>
        <v>10.575909090909089</v>
      </c>
      <c r="T347" s="10">
        <f t="shared" si="19"/>
        <v>8309.1796921655896</v>
      </c>
      <c r="U347" s="11">
        <f t="shared" si="18"/>
        <v>7412.2923212895539</v>
      </c>
      <c r="V347" s="10">
        <v>74.010000000000005</v>
      </c>
      <c r="W347" s="10">
        <v>63.55</v>
      </c>
      <c r="X347" s="7">
        <v>1</v>
      </c>
    </row>
    <row r="348" spans="1:24" x14ac:dyDescent="0.25">
      <c r="A348" s="3">
        <v>2025</v>
      </c>
      <c r="B348" s="2" t="s">
        <v>406</v>
      </c>
      <c r="C348" s="6" t="s">
        <v>91</v>
      </c>
      <c r="D348" s="6" t="s">
        <v>92</v>
      </c>
      <c r="E348" s="6" t="s">
        <v>26</v>
      </c>
      <c r="F348" s="7" t="s">
        <v>410</v>
      </c>
      <c r="G348" s="7">
        <v>104</v>
      </c>
      <c r="H348" s="6">
        <v>4</v>
      </c>
      <c r="I348" s="7">
        <v>1</v>
      </c>
      <c r="J348" s="6">
        <v>2</v>
      </c>
      <c r="K348" s="6">
        <v>19</v>
      </c>
      <c r="L348" s="7" t="s">
        <v>252</v>
      </c>
      <c r="M348" s="8" t="s">
        <v>254</v>
      </c>
      <c r="N348" s="9" t="s">
        <v>59</v>
      </c>
      <c r="O348" s="9" t="s">
        <v>258</v>
      </c>
      <c r="P348" s="10">
        <v>13.04</v>
      </c>
      <c r="Q348" s="10">
        <v>10.4</v>
      </c>
      <c r="R348" s="10">
        <v>45.3</v>
      </c>
      <c r="S348" s="15">
        <f t="shared" si="20"/>
        <v>13.277090909090909</v>
      </c>
      <c r="T348" s="10">
        <f t="shared" si="19"/>
        <v>10431.418538543001</v>
      </c>
      <c r="U348" s="11">
        <f t="shared" si="18"/>
        <v>9305.4581075316692</v>
      </c>
      <c r="V348" s="10">
        <v>73.64</v>
      </c>
      <c r="W348" s="10">
        <v>63.35</v>
      </c>
      <c r="X348" s="7">
        <v>0</v>
      </c>
    </row>
    <row r="349" spans="1:24" x14ac:dyDescent="0.25">
      <c r="A349" s="3">
        <v>2025</v>
      </c>
      <c r="B349" s="2" t="s">
        <v>406</v>
      </c>
      <c r="C349" s="6" t="s">
        <v>91</v>
      </c>
      <c r="D349" s="6" t="s">
        <v>92</v>
      </c>
      <c r="E349" s="6" t="s">
        <v>26</v>
      </c>
      <c r="F349" s="7" t="s">
        <v>411</v>
      </c>
      <c r="G349" s="7">
        <v>105</v>
      </c>
      <c r="H349" s="6">
        <v>5</v>
      </c>
      <c r="I349" s="7">
        <v>1</v>
      </c>
      <c r="J349" s="6">
        <v>3</v>
      </c>
      <c r="K349" s="6">
        <v>11</v>
      </c>
      <c r="L349" s="7" t="s">
        <v>252</v>
      </c>
      <c r="M349" s="8" t="s">
        <v>472</v>
      </c>
      <c r="N349" s="9" t="s">
        <v>60</v>
      </c>
      <c r="O349" s="9" t="s">
        <v>257</v>
      </c>
      <c r="P349" s="10">
        <v>12</v>
      </c>
      <c r="Q349" s="10">
        <v>9.89</v>
      </c>
      <c r="R349" s="10">
        <v>45.3</v>
      </c>
      <c r="S349" s="15">
        <f t="shared" si="20"/>
        <v>12.287727272727272</v>
      </c>
      <c r="T349" s="10">
        <f t="shared" si="19"/>
        <v>9654.1047242150853</v>
      </c>
      <c r="U349" s="11">
        <f t="shared" si="18"/>
        <v>8612.0470331981141</v>
      </c>
      <c r="V349" s="10">
        <v>73.150000000000006</v>
      </c>
      <c r="W349" s="10">
        <v>60.12</v>
      </c>
      <c r="X349" s="7">
        <v>0</v>
      </c>
    </row>
    <row r="350" spans="1:24" x14ac:dyDescent="0.25">
      <c r="A350" s="3">
        <v>2025</v>
      </c>
      <c r="B350" s="2" t="s">
        <v>406</v>
      </c>
      <c r="C350" s="6" t="s">
        <v>91</v>
      </c>
      <c r="D350" s="6" t="s">
        <v>92</v>
      </c>
      <c r="E350" s="6" t="s">
        <v>26</v>
      </c>
      <c r="F350" s="7" t="s">
        <v>412</v>
      </c>
      <c r="G350" s="7">
        <v>106</v>
      </c>
      <c r="H350" s="6">
        <v>6</v>
      </c>
      <c r="I350" s="7">
        <v>1</v>
      </c>
      <c r="J350" s="6">
        <v>3</v>
      </c>
      <c r="K350" s="6">
        <v>5</v>
      </c>
      <c r="L350" s="7" t="s">
        <v>252</v>
      </c>
      <c r="M350" s="8" t="s">
        <v>31</v>
      </c>
      <c r="N350" s="9" t="s">
        <v>60</v>
      </c>
      <c r="O350" s="9" t="s">
        <v>259</v>
      </c>
      <c r="P350" s="10">
        <v>12.37</v>
      </c>
      <c r="Q350" s="10">
        <v>10.5</v>
      </c>
      <c r="R350" s="10">
        <v>45.2</v>
      </c>
      <c r="S350" s="15">
        <f t="shared" si="20"/>
        <v>12.580852272727272</v>
      </c>
      <c r="T350" s="10">
        <f t="shared" si="19"/>
        <v>9884.4043869986526</v>
      </c>
      <c r="U350" s="11">
        <f t="shared" si="18"/>
        <v>8817.4883024073624</v>
      </c>
      <c r="V350" s="10">
        <v>73.25</v>
      </c>
      <c r="W350" s="10">
        <v>61.12</v>
      </c>
      <c r="X350" s="7">
        <v>0</v>
      </c>
    </row>
    <row r="351" spans="1:24" x14ac:dyDescent="0.25">
      <c r="A351" s="3">
        <v>2025</v>
      </c>
      <c r="B351" s="2" t="s">
        <v>406</v>
      </c>
      <c r="C351" s="6" t="s">
        <v>91</v>
      </c>
      <c r="D351" s="6" t="s">
        <v>92</v>
      </c>
      <c r="E351" s="6" t="s">
        <v>26</v>
      </c>
      <c r="F351" s="7" t="s">
        <v>413</v>
      </c>
      <c r="G351" s="7">
        <v>201</v>
      </c>
      <c r="H351" s="6">
        <v>1</v>
      </c>
      <c r="I351" s="7">
        <v>2</v>
      </c>
      <c r="J351" s="6">
        <v>1</v>
      </c>
      <c r="K351" s="6">
        <v>10</v>
      </c>
      <c r="L351" s="7" t="s">
        <v>252</v>
      </c>
      <c r="M351" s="8" t="s">
        <v>472</v>
      </c>
      <c r="N351" s="9" t="s">
        <v>58</v>
      </c>
      <c r="O351" s="9" t="s">
        <v>257</v>
      </c>
      <c r="P351" s="10">
        <v>13.44</v>
      </c>
      <c r="Q351" s="10">
        <v>11.2</v>
      </c>
      <c r="R351" s="10">
        <v>44.9</v>
      </c>
      <c r="S351" s="15">
        <f t="shared" si="20"/>
        <v>13.562181818181818</v>
      </c>
      <c r="T351" s="10">
        <f t="shared" si="19"/>
        <v>10655.406053174294</v>
      </c>
      <c r="U351" s="11">
        <f t="shared" si="18"/>
        <v>9505.2685576933945</v>
      </c>
      <c r="V351" s="10">
        <v>73.23</v>
      </c>
      <c r="W351" s="10">
        <v>59.48</v>
      </c>
      <c r="X351" s="7">
        <v>0</v>
      </c>
    </row>
    <row r="352" spans="1:24" x14ac:dyDescent="0.25">
      <c r="A352" s="3">
        <v>2025</v>
      </c>
      <c r="B352" s="2" t="s">
        <v>406</v>
      </c>
      <c r="C352" s="6" t="s">
        <v>91</v>
      </c>
      <c r="D352" s="6" t="s">
        <v>92</v>
      </c>
      <c r="E352" s="6" t="s">
        <v>26</v>
      </c>
      <c r="F352" s="7" t="s">
        <v>414</v>
      </c>
      <c r="G352" s="7">
        <v>202</v>
      </c>
      <c r="H352" s="6">
        <v>2</v>
      </c>
      <c r="I352" s="7">
        <v>2</v>
      </c>
      <c r="J352" s="6">
        <v>1</v>
      </c>
      <c r="K352" s="6">
        <v>2</v>
      </c>
      <c r="L352" s="7" t="s">
        <v>252</v>
      </c>
      <c r="M352" s="8" t="s">
        <v>471</v>
      </c>
      <c r="N352" s="8" t="s">
        <v>471</v>
      </c>
      <c r="O352" s="8" t="s">
        <v>471</v>
      </c>
      <c r="P352" s="10">
        <v>13.29</v>
      </c>
      <c r="Q352" s="10">
        <v>10</v>
      </c>
      <c r="R352" s="10">
        <v>45.4</v>
      </c>
      <c r="S352" s="15">
        <f t="shared" si="20"/>
        <v>13.592045454545454</v>
      </c>
      <c r="T352" s="10">
        <f t="shared" si="19"/>
        <v>10678.869031030279</v>
      </c>
      <c r="U352" s="11">
        <f t="shared" si="18"/>
        <v>9526.1989572080984</v>
      </c>
      <c r="V352" s="10">
        <v>73.25</v>
      </c>
      <c r="W352" s="10">
        <v>60.72</v>
      </c>
      <c r="X352" s="7">
        <v>1</v>
      </c>
    </row>
    <row r="353" spans="1:24" x14ac:dyDescent="0.25">
      <c r="A353" s="3">
        <v>2025</v>
      </c>
      <c r="B353" s="2" t="s">
        <v>406</v>
      </c>
      <c r="C353" s="6" t="s">
        <v>91</v>
      </c>
      <c r="D353" s="6" t="s">
        <v>92</v>
      </c>
      <c r="E353" s="6" t="s">
        <v>26</v>
      </c>
      <c r="F353" s="7" t="s">
        <v>415</v>
      </c>
      <c r="G353" s="7">
        <v>203</v>
      </c>
      <c r="H353" s="6">
        <v>3</v>
      </c>
      <c r="I353" s="7">
        <v>2</v>
      </c>
      <c r="J353" s="6">
        <v>2</v>
      </c>
      <c r="K353" s="6">
        <v>17</v>
      </c>
      <c r="L353" s="7" t="s">
        <v>252</v>
      </c>
      <c r="M353" s="8" t="s">
        <v>254</v>
      </c>
      <c r="N353" s="9" t="s">
        <v>60</v>
      </c>
      <c r="O353" s="9" t="s">
        <v>258</v>
      </c>
      <c r="P353" s="10">
        <v>13.25</v>
      </c>
      <c r="Q353" s="10">
        <v>10.8</v>
      </c>
      <c r="R353" s="10">
        <v>45.1</v>
      </c>
      <c r="S353" s="15">
        <f t="shared" si="20"/>
        <v>13.430681818181819</v>
      </c>
      <c r="T353" s="10">
        <f t="shared" si="19"/>
        <v>10552.090383558809</v>
      </c>
      <c r="U353" s="11">
        <f t="shared" si="18"/>
        <v>9413.1047132549593</v>
      </c>
      <c r="V353" s="10">
        <v>73.14</v>
      </c>
      <c r="W353" s="10">
        <v>61.55</v>
      </c>
      <c r="X353" s="7">
        <v>2</v>
      </c>
    </row>
    <row r="354" spans="1:24" x14ac:dyDescent="0.25">
      <c r="A354" s="3">
        <v>2025</v>
      </c>
      <c r="B354" s="2" t="s">
        <v>406</v>
      </c>
      <c r="C354" s="6" t="s">
        <v>91</v>
      </c>
      <c r="D354" s="6" t="s">
        <v>92</v>
      </c>
      <c r="E354" s="6" t="s">
        <v>26</v>
      </c>
      <c r="F354" s="7" t="s">
        <v>416</v>
      </c>
      <c r="G354" s="7">
        <v>204</v>
      </c>
      <c r="H354" s="6">
        <v>4</v>
      </c>
      <c r="I354" s="7">
        <v>2</v>
      </c>
      <c r="J354" s="6">
        <v>2</v>
      </c>
      <c r="K354" s="6">
        <v>9</v>
      </c>
      <c r="L354" s="7" t="s">
        <v>252</v>
      </c>
      <c r="M354" s="8" t="s">
        <v>472</v>
      </c>
      <c r="N354" s="8" t="s">
        <v>470</v>
      </c>
      <c r="O354" s="9" t="s">
        <v>257</v>
      </c>
      <c r="P354" s="10">
        <v>13.84</v>
      </c>
      <c r="Q354" s="10">
        <v>11.4</v>
      </c>
      <c r="R354" s="10">
        <v>44.9</v>
      </c>
      <c r="S354" s="15">
        <f t="shared" si="20"/>
        <v>13.934363636363637</v>
      </c>
      <c r="T354" s="10">
        <f t="shared" si="19"/>
        <v>10947.818325145119</v>
      </c>
      <c r="U354" s="11">
        <f t="shared" si="18"/>
        <v>9766.1180420563069</v>
      </c>
      <c r="V354" s="10">
        <v>73.239999999999995</v>
      </c>
      <c r="W354" s="10">
        <v>60.8</v>
      </c>
      <c r="X354" s="7">
        <v>1</v>
      </c>
    </row>
    <row r="355" spans="1:24" x14ac:dyDescent="0.25">
      <c r="A355" s="3">
        <v>2025</v>
      </c>
      <c r="B355" s="2" t="s">
        <v>406</v>
      </c>
      <c r="C355" s="6" t="s">
        <v>91</v>
      </c>
      <c r="D355" s="6" t="s">
        <v>92</v>
      </c>
      <c r="E355" s="6" t="s">
        <v>26</v>
      </c>
      <c r="F355" s="7" t="s">
        <v>417</v>
      </c>
      <c r="G355" s="7">
        <v>205</v>
      </c>
      <c r="H355" s="6">
        <v>5</v>
      </c>
      <c r="I355" s="7">
        <v>2</v>
      </c>
      <c r="J355" s="6">
        <v>3</v>
      </c>
      <c r="K355" s="6">
        <v>19</v>
      </c>
      <c r="L355" s="7" t="s">
        <v>252</v>
      </c>
      <c r="M355" s="8" t="s">
        <v>254</v>
      </c>
      <c r="N355" s="9" t="s">
        <v>59</v>
      </c>
      <c r="O355" s="9" t="s">
        <v>258</v>
      </c>
      <c r="P355" s="10">
        <v>13.68</v>
      </c>
      <c r="Q355" s="10">
        <v>10.7</v>
      </c>
      <c r="R355" s="10">
        <v>45.1</v>
      </c>
      <c r="S355" s="15">
        <f t="shared" si="20"/>
        <v>13.882090909090907</v>
      </c>
      <c r="T355" s="10">
        <f t="shared" si="19"/>
        <v>10906.749185823372</v>
      </c>
      <c r="U355" s="11">
        <f t="shared" si="18"/>
        <v>9729.4818785221869</v>
      </c>
      <c r="V355" s="10">
        <v>73.22</v>
      </c>
      <c r="W355" s="10">
        <v>60.7</v>
      </c>
      <c r="X355" s="7">
        <v>2</v>
      </c>
    </row>
    <row r="356" spans="1:24" x14ac:dyDescent="0.25">
      <c r="A356" s="3">
        <v>2025</v>
      </c>
      <c r="B356" s="2" t="s">
        <v>406</v>
      </c>
      <c r="C356" s="6" t="s">
        <v>91</v>
      </c>
      <c r="D356" s="6" t="s">
        <v>92</v>
      </c>
      <c r="E356" s="6" t="s">
        <v>26</v>
      </c>
      <c r="F356" s="7" t="s">
        <v>418</v>
      </c>
      <c r="G356" s="7">
        <v>206</v>
      </c>
      <c r="H356" s="6">
        <v>6</v>
      </c>
      <c r="I356" s="7">
        <v>2</v>
      </c>
      <c r="J356" s="6">
        <v>3</v>
      </c>
      <c r="K356" s="6">
        <v>12</v>
      </c>
      <c r="L356" s="7" t="s">
        <v>252</v>
      </c>
      <c r="M356" s="8" t="s">
        <v>472</v>
      </c>
      <c r="N356" s="9" t="s">
        <v>62</v>
      </c>
      <c r="O356" s="9" t="s">
        <v>257</v>
      </c>
      <c r="P356" s="10">
        <v>12.51</v>
      </c>
      <c r="Q356" s="10">
        <v>12.8</v>
      </c>
      <c r="R356" s="10">
        <v>44</v>
      </c>
      <c r="S356" s="15">
        <f t="shared" si="20"/>
        <v>12.396272727272727</v>
      </c>
      <c r="T356" s="10">
        <f t="shared" si="19"/>
        <v>9739.3856848240648</v>
      </c>
      <c r="U356" s="11">
        <f t="shared" si="18"/>
        <v>8688.1228232150443</v>
      </c>
      <c r="V356" s="10">
        <v>72.959999999999994</v>
      </c>
      <c r="W356" s="10">
        <v>60.84</v>
      </c>
      <c r="X356" s="7">
        <v>1</v>
      </c>
    </row>
    <row r="357" spans="1:24" x14ac:dyDescent="0.25">
      <c r="A357" s="3">
        <v>2025</v>
      </c>
      <c r="B357" s="2" t="s">
        <v>406</v>
      </c>
      <c r="C357" s="6" t="s">
        <v>91</v>
      </c>
      <c r="D357" s="6" t="s">
        <v>92</v>
      </c>
      <c r="E357" s="6" t="s">
        <v>26</v>
      </c>
      <c r="F357" s="7" t="s">
        <v>419</v>
      </c>
      <c r="G357" s="7">
        <v>301</v>
      </c>
      <c r="H357" s="6">
        <v>1</v>
      </c>
      <c r="I357" s="7">
        <v>3</v>
      </c>
      <c r="J357" s="6">
        <v>1</v>
      </c>
      <c r="K357" s="6">
        <v>12</v>
      </c>
      <c r="L357" s="7" t="s">
        <v>252</v>
      </c>
      <c r="M357" s="8" t="s">
        <v>472</v>
      </c>
      <c r="N357" s="9" t="s">
        <v>62</v>
      </c>
      <c r="O357" s="9" t="s">
        <v>257</v>
      </c>
      <c r="P357" s="10">
        <v>13.64</v>
      </c>
      <c r="Q357" s="10">
        <v>12.6</v>
      </c>
      <c r="R357" s="10">
        <v>44.2</v>
      </c>
      <c r="S357" s="15">
        <f t="shared" si="20"/>
        <v>13.547000000000001</v>
      </c>
      <c r="T357" s="10">
        <f t="shared" si="19"/>
        <v>10643.478146623454</v>
      </c>
      <c r="U357" s="11">
        <f t="shared" si="18"/>
        <v>9494.6281415017438</v>
      </c>
      <c r="V357" s="10">
        <v>72.900000000000006</v>
      </c>
      <c r="W357" s="10">
        <v>61.82</v>
      </c>
      <c r="X357" s="7">
        <v>1</v>
      </c>
    </row>
    <row r="358" spans="1:24" x14ac:dyDescent="0.25">
      <c r="A358" s="3">
        <v>2025</v>
      </c>
      <c r="B358" s="2" t="s">
        <v>406</v>
      </c>
      <c r="C358" s="6" t="s">
        <v>91</v>
      </c>
      <c r="D358" s="6" t="s">
        <v>92</v>
      </c>
      <c r="E358" s="6" t="s">
        <v>26</v>
      </c>
      <c r="F358" s="7" t="s">
        <v>420</v>
      </c>
      <c r="G358" s="7">
        <v>302</v>
      </c>
      <c r="H358" s="6">
        <v>2</v>
      </c>
      <c r="I358" s="7">
        <v>3</v>
      </c>
      <c r="J358" s="6">
        <v>1</v>
      </c>
      <c r="K358" s="6">
        <v>4</v>
      </c>
      <c r="L358" s="7" t="s">
        <v>252</v>
      </c>
      <c r="M358" s="8" t="s">
        <v>31</v>
      </c>
      <c r="N358" s="9" t="s">
        <v>58</v>
      </c>
      <c r="O358" s="9" t="s">
        <v>259</v>
      </c>
      <c r="P358" s="10">
        <v>12.21</v>
      </c>
      <c r="Q358" s="10">
        <v>10.8</v>
      </c>
      <c r="R358" s="10">
        <v>45.1</v>
      </c>
      <c r="S358" s="15">
        <f t="shared" si="20"/>
        <v>12.3765</v>
      </c>
      <c r="T358" s="10">
        <f t="shared" si="19"/>
        <v>9723.8508364719273</v>
      </c>
      <c r="U358" s="11">
        <f t="shared" si="18"/>
        <v>8674.2647961390958</v>
      </c>
      <c r="V358" s="10">
        <v>73.36</v>
      </c>
      <c r="W358" s="10">
        <v>61.12</v>
      </c>
      <c r="X358" s="7">
        <v>2</v>
      </c>
    </row>
    <row r="359" spans="1:24" x14ac:dyDescent="0.25">
      <c r="A359" s="3">
        <v>2025</v>
      </c>
      <c r="B359" s="2" t="s">
        <v>406</v>
      </c>
      <c r="C359" s="6" t="s">
        <v>91</v>
      </c>
      <c r="D359" s="6" t="s">
        <v>92</v>
      </c>
      <c r="E359" s="6" t="s">
        <v>26</v>
      </c>
      <c r="F359" s="7" t="s">
        <v>421</v>
      </c>
      <c r="G359" s="7">
        <v>303</v>
      </c>
      <c r="H359" s="6">
        <v>3</v>
      </c>
      <c r="I359" s="7">
        <v>3</v>
      </c>
      <c r="J359" s="6">
        <v>2</v>
      </c>
      <c r="K359" s="6">
        <v>3</v>
      </c>
      <c r="L359" s="7" t="s">
        <v>252</v>
      </c>
      <c r="M359" s="8" t="s">
        <v>31</v>
      </c>
      <c r="N359" s="8" t="s">
        <v>470</v>
      </c>
      <c r="O359" s="9" t="s">
        <v>259</v>
      </c>
      <c r="P359" s="10">
        <v>13.16</v>
      </c>
      <c r="Q359" s="10">
        <v>10.199999999999999</v>
      </c>
      <c r="R359" s="10">
        <v>45.3</v>
      </c>
      <c r="S359" s="15">
        <f t="shared" si="20"/>
        <v>13.429181818181819</v>
      </c>
      <c r="T359" s="10">
        <f t="shared" si="19"/>
        <v>10550.911877821749</v>
      </c>
      <c r="U359" s="11">
        <f t="shared" si="18"/>
        <v>9412.0534146491955</v>
      </c>
      <c r="V359" s="10">
        <v>72.900000000000006</v>
      </c>
      <c r="W359" s="10">
        <v>60.08</v>
      </c>
      <c r="X359" s="7">
        <v>1</v>
      </c>
    </row>
    <row r="360" spans="1:24" x14ac:dyDescent="0.25">
      <c r="A360" s="3">
        <v>2025</v>
      </c>
      <c r="B360" s="2" t="s">
        <v>406</v>
      </c>
      <c r="C360" s="6" t="s">
        <v>91</v>
      </c>
      <c r="D360" s="6" t="s">
        <v>92</v>
      </c>
      <c r="E360" s="6" t="s">
        <v>26</v>
      </c>
      <c r="F360" s="7" t="s">
        <v>422</v>
      </c>
      <c r="G360" s="7">
        <v>304</v>
      </c>
      <c r="H360" s="6">
        <v>4</v>
      </c>
      <c r="I360" s="7">
        <v>3</v>
      </c>
      <c r="J360" s="6">
        <v>2</v>
      </c>
      <c r="K360" s="6">
        <v>11</v>
      </c>
      <c r="L360" s="7" t="s">
        <v>252</v>
      </c>
      <c r="M360" s="8" t="s">
        <v>472</v>
      </c>
      <c r="N360" s="9" t="s">
        <v>60</v>
      </c>
      <c r="O360" s="9" t="s">
        <v>257</v>
      </c>
      <c r="P360" s="10">
        <v>13.76</v>
      </c>
      <c r="Q360" s="10">
        <v>10.9</v>
      </c>
      <c r="R360" s="10">
        <v>45.1</v>
      </c>
      <c r="S360" s="15">
        <f t="shared" si="20"/>
        <v>13.932</v>
      </c>
      <c r="T360" s="10">
        <f t="shared" si="19"/>
        <v>10945.961285801875</v>
      </c>
      <c r="U360" s="11">
        <f t="shared" si="18"/>
        <v>9764.4614503138946</v>
      </c>
      <c r="V360" s="10">
        <v>73.180000000000007</v>
      </c>
      <c r="W360" s="10">
        <v>61.3</v>
      </c>
      <c r="X360" s="7">
        <v>0</v>
      </c>
    </row>
    <row r="361" spans="1:24" x14ac:dyDescent="0.25">
      <c r="A361" s="3">
        <v>2025</v>
      </c>
      <c r="B361" s="2" t="s">
        <v>406</v>
      </c>
      <c r="C361" s="6" t="s">
        <v>91</v>
      </c>
      <c r="D361" s="6" t="s">
        <v>92</v>
      </c>
      <c r="E361" s="6" t="s">
        <v>26</v>
      </c>
      <c r="F361" s="7" t="s">
        <v>423</v>
      </c>
      <c r="G361" s="7">
        <v>305</v>
      </c>
      <c r="H361" s="6">
        <v>5</v>
      </c>
      <c r="I361" s="7">
        <v>3</v>
      </c>
      <c r="J361" s="6">
        <v>3</v>
      </c>
      <c r="K361" s="6">
        <v>16</v>
      </c>
      <c r="L361" s="7" t="s">
        <v>252</v>
      </c>
      <c r="M361" s="8" t="s">
        <v>254</v>
      </c>
      <c r="N361" s="9" t="s">
        <v>58</v>
      </c>
      <c r="O361" s="9" t="s">
        <v>258</v>
      </c>
      <c r="P361" s="10">
        <v>13.29</v>
      </c>
      <c r="Q361" s="10">
        <v>9.9</v>
      </c>
      <c r="R361" s="10">
        <v>45.5</v>
      </c>
      <c r="S361" s="15">
        <f t="shared" si="20"/>
        <v>13.607147727272727</v>
      </c>
      <c r="T361" s="10">
        <f t="shared" si="19"/>
        <v>10690.734441064758</v>
      </c>
      <c r="U361" s="11">
        <f t="shared" si="18"/>
        <v>9536.7836227161097</v>
      </c>
      <c r="V361" s="10">
        <v>73.319999999999993</v>
      </c>
      <c r="W361" s="10">
        <v>61.52</v>
      </c>
      <c r="X361" s="7">
        <v>1</v>
      </c>
    </row>
    <row r="362" spans="1:24" x14ac:dyDescent="0.25">
      <c r="A362" s="3">
        <v>2025</v>
      </c>
      <c r="B362" s="2" t="s">
        <v>406</v>
      </c>
      <c r="C362" s="6" t="s">
        <v>91</v>
      </c>
      <c r="D362" s="6" t="s">
        <v>92</v>
      </c>
      <c r="E362" s="6" t="s">
        <v>26</v>
      </c>
      <c r="F362" s="7" t="s">
        <v>424</v>
      </c>
      <c r="G362" s="7">
        <v>306</v>
      </c>
      <c r="H362" s="6">
        <v>6</v>
      </c>
      <c r="I362" s="7">
        <v>3</v>
      </c>
      <c r="J362" s="6">
        <v>3</v>
      </c>
      <c r="K362" s="6">
        <v>18</v>
      </c>
      <c r="L362" s="7" t="s">
        <v>252</v>
      </c>
      <c r="M362" s="8" t="s">
        <v>254</v>
      </c>
      <c r="N362" s="9" t="s">
        <v>62</v>
      </c>
      <c r="O362" s="9" t="s">
        <v>258</v>
      </c>
      <c r="P362" s="10">
        <v>13.55</v>
      </c>
      <c r="Q362" s="10">
        <v>11.8</v>
      </c>
      <c r="R362" s="10">
        <v>44.8</v>
      </c>
      <c r="S362" s="15">
        <f t="shared" si="20"/>
        <v>13.580795454545456</v>
      </c>
      <c r="T362" s="10">
        <f t="shared" si="19"/>
        <v>10670.03023800234</v>
      </c>
      <c r="U362" s="11">
        <f t="shared" si="18"/>
        <v>9518.3142176648889</v>
      </c>
      <c r="V362" s="10">
        <v>72.959999999999994</v>
      </c>
      <c r="W362" s="10">
        <v>62.17</v>
      </c>
      <c r="X362" s="7">
        <v>1</v>
      </c>
    </row>
    <row r="363" spans="1:24" x14ac:dyDescent="0.25">
      <c r="A363" s="3">
        <v>2025</v>
      </c>
      <c r="B363" s="2" t="s">
        <v>406</v>
      </c>
      <c r="C363" s="6" t="s">
        <v>91</v>
      </c>
      <c r="D363" s="6" t="s">
        <v>92</v>
      </c>
      <c r="E363" s="6" t="s">
        <v>26</v>
      </c>
      <c r="F363" s="7" t="s">
        <v>425</v>
      </c>
      <c r="G363" s="7">
        <v>401</v>
      </c>
      <c r="H363" s="6">
        <v>1</v>
      </c>
      <c r="I363" s="7">
        <v>4</v>
      </c>
      <c r="J363" s="6">
        <v>1</v>
      </c>
      <c r="K363" s="6">
        <v>8</v>
      </c>
      <c r="L363" s="7" t="s">
        <v>252</v>
      </c>
      <c r="M363" s="8" t="s">
        <v>31</v>
      </c>
      <c r="N363" s="9" t="s">
        <v>61</v>
      </c>
      <c r="O363" s="9" t="s">
        <v>259</v>
      </c>
      <c r="P363" s="10">
        <v>14.24</v>
      </c>
      <c r="Q363" s="10">
        <v>13.2</v>
      </c>
      <c r="R363" s="10">
        <v>43.9</v>
      </c>
      <c r="S363" s="15">
        <f t="shared" si="20"/>
        <v>14.045818181818181</v>
      </c>
      <c r="T363" s="10">
        <f t="shared" si="19"/>
        <v>11035.384872638091</v>
      </c>
      <c r="U363" s="11">
        <f t="shared" si="18"/>
        <v>9844.2327142177437</v>
      </c>
      <c r="V363" s="10">
        <v>72.62</v>
      </c>
      <c r="W363" s="10">
        <v>61.32</v>
      </c>
      <c r="X363" s="7">
        <v>1</v>
      </c>
    </row>
    <row r="364" spans="1:24" x14ac:dyDescent="0.25">
      <c r="A364" s="3">
        <v>2025</v>
      </c>
      <c r="B364" s="2" t="s">
        <v>406</v>
      </c>
      <c r="C364" s="6" t="s">
        <v>91</v>
      </c>
      <c r="D364" s="6" t="s">
        <v>92</v>
      </c>
      <c r="E364" s="6" t="s">
        <v>26</v>
      </c>
      <c r="F364" s="7" t="s">
        <v>426</v>
      </c>
      <c r="G364" s="7">
        <v>402</v>
      </c>
      <c r="H364" s="6">
        <v>2</v>
      </c>
      <c r="I364" s="7">
        <v>4</v>
      </c>
      <c r="J364" s="6">
        <v>1</v>
      </c>
      <c r="K364" s="6">
        <v>1</v>
      </c>
      <c r="L364" s="7" t="s">
        <v>252</v>
      </c>
      <c r="M364" s="8" t="s">
        <v>471</v>
      </c>
      <c r="N364" s="8" t="s">
        <v>471</v>
      </c>
      <c r="O364" s="8" t="s">
        <v>471</v>
      </c>
      <c r="P364" s="10">
        <v>13.3</v>
      </c>
      <c r="Q364" s="10">
        <v>9.75</v>
      </c>
      <c r="R364" s="10">
        <v>45.5</v>
      </c>
      <c r="S364" s="15">
        <f t="shared" si="20"/>
        <v>13.640056818181817</v>
      </c>
      <c r="T364" s="10">
        <f t="shared" si="19"/>
        <v>10716.590142689927</v>
      </c>
      <c r="U364" s="11">
        <f t="shared" si="18"/>
        <v>9559.8484769758488</v>
      </c>
      <c r="V364" s="10">
        <v>72.260000000000005</v>
      </c>
      <c r="W364" s="10">
        <v>59.13</v>
      </c>
      <c r="X364" s="7">
        <v>1</v>
      </c>
    </row>
    <row r="365" spans="1:24" x14ac:dyDescent="0.25">
      <c r="A365" s="3">
        <v>2025</v>
      </c>
      <c r="B365" s="2" t="s">
        <v>406</v>
      </c>
      <c r="C365" s="6" t="s">
        <v>91</v>
      </c>
      <c r="D365" s="6" t="s">
        <v>92</v>
      </c>
      <c r="E365" s="6" t="s">
        <v>26</v>
      </c>
      <c r="F365" s="7" t="s">
        <v>427</v>
      </c>
      <c r="G365" s="7">
        <v>403</v>
      </c>
      <c r="H365" s="6">
        <v>3</v>
      </c>
      <c r="I365" s="7">
        <v>4</v>
      </c>
      <c r="J365" s="6">
        <v>2</v>
      </c>
      <c r="K365" s="6">
        <v>16</v>
      </c>
      <c r="L365" s="7" t="s">
        <v>252</v>
      </c>
      <c r="M365" s="8" t="s">
        <v>254</v>
      </c>
      <c r="N365" s="9" t="s">
        <v>58</v>
      </c>
      <c r="O365" s="9" t="s">
        <v>258</v>
      </c>
      <c r="P365" s="10">
        <v>13.33</v>
      </c>
      <c r="Q365" s="10">
        <v>10.9</v>
      </c>
      <c r="R365" s="10">
        <v>45</v>
      </c>
      <c r="S365" s="15">
        <f t="shared" si="20"/>
        <v>13.496625</v>
      </c>
      <c r="T365" s="10">
        <f t="shared" si="19"/>
        <v>10603.899995620566</v>
      </c>
      <c r="U365" s="11">
        <f t="shared" si="18"/>
        <v>9459.3220299915847</v>
      </c>
      <c r="V365" s="10">
        <v>72.739999999999995</v>
      </c>
      <c r="W365" s="10">
        <v>60.98</v>
      </c>
      <c r="X365" s="7">
        <v>1</v>
      </c>
    </row>
    <row r="366" spans="1:24" x14ac:dyDescent="0.25">
      <c r="A366" s="3">
        <v>2025</v>
      </c>
      <c r="B366" s="2" t="s">
        <v>406</v>
      </c>
      <c r="C366" s="6" t="s">
        <v>91</v>
      </c>
      <c r="D366" s="6" t="s">
        <v>92</v>
      </c>
      <c r="E366" s="6" t="s">
        <v>26</v>
      </c>
      <c r="F366" s="7" t="s">
        <v>428</v>
      </c>
      <c r="G366" s="7">
        <v>404</v>
      </c>
      <c r="H366" s="6">
        <v>4</v>
      </c>
      <c r="I366" s="7">
        <v>4</v>
      </c>
      <c r="J366" s="6">
        <v>2</v>
      </c>
      <c r="K366" s="6">
        <v>7</v>
      </c>
      <c r="L366" s="7" t="s">
        <v>252</v>
      </c>
      <c r="M366" s="8" t="s">
        <v>31</v>
      </c>
      <c r="N366" s="9" t="s">
        <v>59</v>
      </c>
      <c r="O366" s="9" t="s">
        <v>259</v>
      </c>
      <c r="P366" s="10">
        <v>13.07</v>
      </c>
      <c r="Q366" s="10">
        <v>10.7</v>
      </c>
      <c r="R366" s="10">
        <v>45.1</v>
      </c>
      <c r="S366" s="15">
        <f t="shared" si="20"/>
        <v>13.263079545454545</v>
      </c>
      <c r="T366" s="10">
        <f t="shared" si="19"/>
        <v>10420.410223590021</v>
      </c>
      <c r="U366" s="11">
        <f t="shared" si="18"/>
        <v>9295.6380228278504</v>
      </c>
      <c r="V366" s="10">
        <v>72.19</v>
      </c>
      <c r="W366" s="10">
        <v>59.47</v>
      </c>
      <c r="X366" s="7">
        <v>1</v>
      </c>
    </row>
    <row r="367" spans="1:24" x14ac:dyDescent="0.25">
      <c r="A367" s="3">
        <v>2025</v>
      </c>
      <c r="B367" s="2" t="s">
        <v>406</v>
      </c>
      <c r="C367" s="6" t="s">
        <v>91</v>
      </c>
      <c r="D367" s="6" t="s">
        <v>92</v>
      </c>
      <c r="E367" s="6" t="s">
        <v>26</v>
      </c>
      <c r="F367" s="7" t="s">
        <v>429</v>
      </c>
      <c r="G367" s="7">
        <v>405</v>
      </c>
      <c r="H367" s="6">
        <v>5</v>
      </c>
      <c r="I367" s="7">
        <v>4</v>
      </c>
      <c r="J367" s="6">
        <v>3</v>
      </c>
      <c r="K367" s="6">
        <v>4</v>
      </c>
      <c r="L367" s="7" t="s">
        <v>252</v>
      </c>
      <c r="M367" s="8" t="s">
        <v>31</v>
      </c>
      <c r="N367" s="9" t="s">
        <v>58</v>
      </c>
      <c r="O367" s="9" t="s">
        <v>259</v>
      </c>
      <c r="P367" s="10">
        <v>13.84</v>
      </c>
      <c r="Q367" s="10">
        <v>11.7</v>
      </c>
      <c r="R367" s="10">
        <v>44.7</v>
      </c>
      <c r="S367" s="15">
        <f t="shared" si="20"/>
        <v>13.887181818181817</v>
      </c>
      <c r="T367" s="10">
        <f t="shared" si="19"/>
        <v>10910.748962870359</v>
      </c>
      <c r="U367" s="11">
        <f t="shared" si="18"/>
        <v>9733.049922275075</v>
      </c>
      <c r="V367" s="10">
        <v>72.75</v>
      </c>
      <c r="W367" s="10">
        <v>59.94</v>
      </c>
      <c r="X367" s="7">
        <v>2</v>
      </c>
    </row>
    <row r="368" spans="1:24" x14ac:dyDescent="0.25">
      <c r="A368" s="3">
        <v>2025</v>
      </c>
      <c r="B368" s="2" t="s">
        <v>406</v>
      </c>
      <c r="C368" s="6" t="s">
        <v>91</v>
      </c>
      <c r="D368" s="6" t="s">
        <v>92</v>
      </c>
      <c r="E368" s="6" t="s">
        <v>26</v>
      </c>
      <c r="F368" s="7" t="s">
        <v>430</v>
      </c>
      <c r="G368" s="7">
        <v>406</v>
      </c>
      <c r="H368" s="6">
        <v>6</v>
      </c>
      <c r="I368" s="7">
        <v>4</v>
      </c>
      <c r="J368" s="6">
        <v>3</v>
      </c>
      <c r="K368" s="6">
        <v>6</v>
      </c>
      <c r="L368" s="7" t="s">
        <v>252</v>
      </c>
      <c r="M368" s="8" t="s">
        <v>31</v>
      </c>
      <c r="N368" s="9" t="s">
        <v>62</v>
      </c>
      <c r="O368" s="9" t="s">
        <v>259</v>
      </c>
      <c r="P368" s="10">
        <v>10.42</v>
      </c>
      <c r="Q368" s="10">
        <v>10.7</v>
      </c>
      <c r="R368" s="10">
        <v>45.1</v>
      </c>
      <c r="S368" s="15">
        <f t="shared" si="20"/>
        <v>10.573931818181817</v>
      </c>
      <c r="T368" s="10">
        <f t="shared" si="19"/>
        <v>8307.6262073303751</v>
      </c>
      <c r="U368" s="11">
        <f t="shared" si="18"/>
        <v>7410.9065185819582</v>
      </c>
      <c r="V368" s="10">
        <v>71.790000000000006</v>
      </c>
      <c r="W368" s="10">
        <v>57.36</v>
      </c>
      <c r="X368" s="7">
        <v>1</v>
      </c>
    </row>
    <row r="369" spans="1:24" x14ac:dyDescent="0.25">
      <c r="A369" s="3">
        <v>2025</v>
      </c>
      <c r="B369" s="2" t="s">
        <v>406</v>
      </c>
      <c r="C369" s="6" t="s">
        <v>91</v>
      </c>
      <c r="D369" s="6" t="s">
        <v>92</v>
      </c>
      <c r="E369" s="6" t="s">
        <v>26</v>
      </c>
      <c r="F369" s="7" t="s">
        <v>431</v>
      </c>
      <c r="G369" s="7">
        <v>501</v>
      </c>
      <c r="H369" s="6">
        <v>1</v>
      </c>
      <c r="I369" s="7">
        <v>5</v>
      </c>
      <c r="J369" s="6">
        <v>1</v>
      </c>
      <c r="K369" s="6">
        <v>17</v>
      </c>
      <c r="L369" s="7" t="s">
        <v>252</v>
      </c>
      <c r="M369" s="8" t="s">
        <v>254</v>
      </c>
      <c r="N369" s="9" t="s">
        <v>60</v>
      </c>
      <c r="O369" s="9" t="s">
        <v>258</v>
      </c>
      <c r="P369" s="10">
        <v>13.73</v>
      </c>
      <c r="Q369" s="10">
        <v>12.3</v>
      </c>
      <c r="R369" s="10">
        <v>44.6</v>
      </c>
      <c r="S369" s="15">
        <f t="shared" si="20"/>
        <v>13.683193181818181</v>
      </c>
      <c r="T369" s="10">
        <f t="shared" si="19"/>
        <v>10750.481110704133</v>
      </c>
      <c r="U369" s="11">
        <f t="shared" si="18"/>
        <v>9590.0812762748737</v>
      </c>
      <c r="V369" s="10">
        <v>72.400000000000006</v>
      </c>
      <c r="W369" s="10">
        <v>59.99</v>
      </c>
      <c r="X369" s="7">
        <v>1</v>
      </c>
    </row>
    <row r="370" spans="1:24" x14ac:dyDescent="0.25">
      <c r="A370" s="3">
        <v>2025</v>
      </c>
      <c r="B370" s="2" t="s">
        <v>406</v>
      </c>
      <c r="C370" s="6" t="s">
        <v>91</v>
      </c>
      <c r="D370" s="6" t="s">
        <v>92</v>
      </c>
      <c r="E370" s="6" t="s">
        <v>26</v>
      </c>
      <c r="F370" s="7" t="s">
        <v>432</v>
      </c>
      <c r="G370" s="7">
        <v>502</v>
      </c>
      <c r="H370" s="6">
        <v>2</v>
      </c>
      <c r="I370" s="7">
        <v>5</v>
      </c>
      <c r="J370" s="6">
        <v>1</v>
      </c>
      <c r="K370" s="6">
        <v>11</v>
      </c>
      <c r="L370" s="7" t="s">
        <v>252</v>
      </c>
      <c r="M370" s="8" t="s">
        <v>472</v>
      </c>
      <c r="N370" s="9" t="s">
        <v>60</v>
      </c>
      <c r="O370" s="9" t="s">
        <v>257</v>
      </c>
      <c r="P370" s="10">
        <v>13.37</v>
      </c>
      <c r="Q370" s="10">
        <v>10.6</v>
      </c>
      <c r="R370" s="10">
        <v>45.2</v>
      </c>
      <c r="S370" s="15">
        <f t="shared" si="20"/>
        <v>13.582704545454543</v>
      </c>
      <c r="T370" s="10">
        <f t="shared" si="19"/>
        <v>10671.530154394959</v>
      </c>
      <c r="U370" s="11">
        <f t="shared" si="18"/>
        <v>9519.6522340722204</v>
      </c>
      <c r="V370" s="10">
        <v>72.31</v>
      </c>
      <c r="W370" s="10">
        <v>59.4</v>
      </c>
      <c r="X370" s="7">
        <v>2</v>
      </c>
    </row>
    <row r="371" spans="1:24" x14ac:dyDescent="0.25">
      <c r="A371" s="3">
        <v>2025</v>
      </c>
      <c r="B371" s="2" t="s">
        <v>406</v>
      </c>
      <c r="C371" s="6" t="s">
        <v>91</v>
      </c>
      <c r="D371" s="6" t="s">
        <v>92</v>
      </c>
      <c r="E371" s="6" t="s">
        <v>26</v>
      </c>
      <c r="F371" s="7" t="s">
        <v>433</v>
      </c>
      <c r="G371" s="7">
        <v>503</v>
      </c>
      <c r="H371" s="6">
        <v>3</v>
      </c>
      <c r="I371" s="7">
        <v>5</v>
      </c>
      <c r="J371" s="6">
        <v>2</v>
      </c>
      <c r="K371" s="6">
        <v>20</v>
      </c>
      <c r="L371" s="7" t="s">
        <v>252</v>
      </c>
      <c r="M371" s="8" t="s">
        <v>254</v>
      </c>
      <c r="N371" s="9" t="s">
        <v>61</v>
      </c>
      <c r="O371" s="9" t="s">
        <v>258</v>
      </c>
      <c r="P371" s="10">
        <v>13.39</v>
      </c>
      <c r="Q371" s="10">
        <v>10.4</v>
      </c>
      <c r="R371" s="10">
        <v>45.2</v>
      </c>
      <c r="S371" s="15">
        <f t="shared" si="20"/>
        <v>13.633454545454546</v>
      </c>
      <c r="T371" s="10">
        <f t="shared" si="19"/>
        <v>10711.402931832115</v>
      </c>
      <c r="U371" s="11">
        <f t="shared" si="18"/>
        <v>9555.2211702338227</v>
      </c>
      <c r="V371" s="10">
        <v>71.84</v>
      </c>
      <c r="W371" s="10">
        <v>59.01</v>
      </c>
      <c r="X371" s="7">
        <v>1</v>
      </c>
    </row>
    <row r="372" spans="1:24" x14ac:dyDescent="0.25">
      <c r="A372" s="3">
        <v>2025</v>
      </c>
      <c r="B372" s="2" t="s">
        <v>406</v>
      </c>
      <c r="C372" s="6" t="s">
        <v>91</v>
      </c>
      <c r="D372" s="6" t="s">
        <v>92</v>
      </c>
      <c r="E372" s="6" t="s">
        <v>26</v>
      </c>
      <c r="F372" s="7" t="s">
        <v>434</v>
      </c>
      <c r="G372" s="7">
        <v>504</v>
      </c>
      <c r="H372" s="6">
        <v>4</v>
      </c>
      <c r="I372" s="7">
        <v>5</v>
      </c>
      <c r="J372" s="6">
        <v>2</v>
      </c>
      <c r="K372" s="6">
        <v>6</v>
      </c>
      <c r="L372" s="7" t="s">
        <v>252</v>
      </c>
      <c r="M372" s="8" t="s">
        <v>31</v>
      </c>
      <c r="N372" s="9" t="s">
        <v>62</v>
      </c>
      <c r="O372" s="9" t="s">
        <v>259</v>
      </c>
      <c r="P372" s="10">
        <v>13.18</v>
      </c>
      <c r="Q372" s="10">
        <v>9.61</v>
      </c>
      <c r="R372" s="10">
        <v>45.5</v>
      </c>
      <c r="S372" s="15">
        <f t="shared" si="20"/>
        <v>13.537956818181817</v>
      </c>
      <c r="T372" s="10">
        <f t="shared" si="19"/>
        <v>10636.373185520792</v>
      </c>
      <c r="U372" s="11">
        <f t="shared" si="18"/>
        <v>9488.2900852103412</v>
      </c>
      <c r="V372" s="10">
        <v>72.459999999999994</v>
      </c>
      <c r="W372" s="10">
        <v>58.92</v>
      </c>
      <c r="X372" s="7">
        <v>1</v>
      </c>
    </row>
    <row r="373" spans="1:24" x14ac:dyDescent="0.25">
      <c r="A373" s="3">
        <v>2025</v>
      </c>
      <c r="B373" s="2" t="s">
        <v>406</v>
      </c>
      <c r="C373" s="6" t="s">
        <v>91</v>
      </c>
      <c r="D373" s="6" t="s">
        <v>92</v>
      </c>
      <c r="E373" s="6" t="s">
        <v>26</v>
      </c>
      <c r="F373" s="7" t="s">
        <v>435</v>
      </c>
      <c r="G373" s="7">
        <v>505</v>
      </c>
      <c r="H373" s="6">
        <v>5</v>
      </c>
      <c r="I373" s="7">
        <v>5</v>
      </c>
      <c r="J373" s="6">
        <v>3</v>
      </c>
      <c r="K373" s="6">
        <v>17</v>
      </c>
      <c r="L373" s="7" t="s">
        <v>252</v>
      </c>
      <c r="M373" s="8" t="s">
        <v>254</v>
      </c>
      <c r="N373" s="9" t="s">
        <v>60</v>
      </c>
      <c r="O373" s="9" t="s">
        <v>258</v>
      </c>
      <c r="P373" s="10">
        <v>13.53</v>
      </c>
      <c r="Q373" s="10">
        <v>9.9</v>
      </c>
      <c r="R373" s="10">
        <v>45.5</v>
      </c>
      <c r="S373" s="15">
        <f t="shared" si="20"/>
        <v>13.852874999999999</v>
      </c>
      <c r="T373" s="10">
        <f t="shared" si="19"/>
        <v>10883.795108172022</v>
      </c>
      <c r="U373" s="11">
        <f t="shared" si="18"/>
        <v>9709.0054488599653</v>
      </c>
      <c r="V373" s="10">
        <v>72.2</v>
      </c>
      <c r="W373" s="10">
        <v>58.57</v>
      </c>
      <c r="X373" s="7">
        <v>0</v>
      </c>
    </row>
    <row r="374" spans="1:24" x14ac:dyDescent="0.25">
      <c r="A374" s="3">
        <v>2025</v>
      </c>
      <c r="B374" s="2" t="s">
        <v>406</v>
      </c>
      <c r="C374" s="6" t="s">
        <v>91</v>
      </c>
      <c r="D374" s="6" t="s">
        <v>92</v>
      </c>
      <c r="E374" s="6" t="s">
        <v>26</v>
      </c>
      <c r="F374" s="7" t="s">
        <v>436</v>
      </c>
      <c r="G374" s="7">
        <v>506</v>
      </c>
      <c r="H374" s="6">
        <v>6</v>
      </c>
      <c r="I374" s="7">
        <v>5</v>
      </c>
      <c r="J374" s="6">
        <v>3</v>
      </c>
      <c r="K374" s="6">
        <v>10</v>
      </c>
      <c r="L374" s="7" t="s">
        <v>252</v>
      </c>
      <c r="M374" s="8" t="s">
        <v>472</v>
      </c>
      <c r="N374" s="9" t="s">
        <v>58</v>
      </c>
      <c r="O374" s="9" t="s">
        <v>257</v>
      </c>
      <c r="P374" s="10">
        <v>13.73</v>
      </c>
      <c r="Q374" s="10">
        <v>10.5</v>
      </c>
      <c r="R374" s="10">
        <v>45.3</v>
      </c>
      <c r="S374" s="15">
        <f t="shared" si="20"/>
        <v>13.964034090909092</v>
      </c>
      <c r="T374" s="10">
        <f t="shared" si="19"/>
        <v>10971.129525747092</v>
      </c>
      <c r="U374" s="11">
        <f t="shared" si="18"/>
        <v>9786.9130470536056</v>
      </c>
      <c r="V374" s="10">
        <v>72.23</v>
      </c>
      <c r="W374" s="10">
        <v>58.64</v>
      </c>
      <c r="X374" s="7">
        <v>0</v>
      </c>
    </row>
    <row r="375" spans="1:24" x14ac:dyDescent="0.25">
      <c r="A375" s="3">
        <v>2025</v>
      </c>
      <c r="B375" s="2" t="s">
        <v>406</v>
      </c>
      <c r="C375" s="6" t="s">
        <v>91</v>
      </c>
      <c r="D375" s="6" t="s">
        <v>92</v>
      </c>
      <c r="E375" s="6" t="s">
        <v>26</v>
      </c>
      <c r="F375" s="7" t="s">
        <v>437</v>
      </c>
      <c r="G375" s="7">
        <v>601</v>
      </c>
      <c r="H375" s="6">
        <v>1</v>
      </c>
      <c r="I375" s="7">
        <v>6</v>
      </c>
      <c r="J375" s="6">
        <v>1</v>
      </c>
      <c r="K375" s="6">
        <v>19</v>
      </c>
      <c r="L375" s="7" t="s">
        <v>252</v>
      </c>
      <c r="M375" s="8" t="s">
        <v>254</v>
      </c>
      <c r="N375" s="9" t="s">
        <v>59</v>
      </c>
      <c r="O375" s="9" t="s">
        <v>258</v>
      </c>
      <c r="P375" s="10">
        <v>14.28</v>
      </c>
      <c r="Q375" s="10">
        <v>13.6</v>
      </c>
      <c r="R375" s="10">
        <v>43.7</v>
      </c>
      <c r="S375" s="15">
        <f t="shared" si="20"/>
        <v>14.020363636363635</v>
      </c>
      <c r="T375" s="10">
        <f t="shared" si="19"/>
        <v>11015.385987403151</v>
      </c>
      <c r="U375" s="11">
        <f t="shared" si="18"/>
        <v>9826.3924954533013</v>
      </c>
      <c r="V375" s="10">
        <v>72.819999999999993</v>
      </c>
      <c r="W375" s="10">
        <v>62.63</v>
      </c>
      <c r="X375" s="7">
        <v>0</v>
      </c>
    </row>
    <row r="376" spans="1:24" x14ac:dyDescent="0.25">
      <c r="A376" s="3">
        <v>2025</v>
      </c>
      <c r="B376" s="2" t="s">
        <v>406</v>
      </c>
      <c r="C376" s="6" t="s">
        <v>91</v>
      </c>
      <c r="D376" s="6" t="s">
        <v>92</v>
      </c>
      <c r="E376" s="6" t="s">
        <v>26</v>
      </c>
      <c r="F376" s="7" t="s">
        <v>438</v>
      </c>
      <c r="G376" s="7">
        <v>602</v>
      </c>
      <c r="H376" s="6">
        <v>2</v>
      </c>
      <c r="I376" s="7">
        <v>6</v>
      </c>
      <c r="J376" s="6">
        <v>1</v>
      </c>
      <c r="K376" s="6">
        <v>7</v>
      </c>
      <c r="L376" s="7" t="s">
        <v>252</v>
      </c>
      <c r="M376" s="8" t="s">
        <v>31</v>
      </c>
      <c r="N376" s="9" t="s">
        <v>59</v>
      </c>
      <c r="O376" s="9" t="s">
        <v>259</v>
      </c>
      <c r="P376" s="10">
        <v>13.23</v>
      </c>
      <c r="Q376" s="10">
        <v>11.5</v>
      </c>
      <c r="R376" s="10">
        <v>44.9</v>
      </c>
      <c r="S376" s="15">
        <f t="shared" si="20"/>
        <v>13.305170454545456</v>
      </c>
      <c r="T376" s="10">
        <f t="shared" si="19"/>
        <v>10453.479808817792</v>
      </c>
      <c r="U376" s="11">
        <f t="shared" si="18"/>
        <v>9325.1380988561923</v>
      </c>
      <c r="V376" s="10">
        <v>73.17</v>
      </c>
      <c r="W376" s="10">
        <v>61.65</v>
      </c>
      <c r="X376" s="7">
        <v>1</v>
      </c>
    </row>
    <row r="377" spans="1:24" x14ac:dyDescent="0.25">
      <c r="A377" s="3">
        <v>2025</v>
      </c>
      <c r="B377" s="2" t="s">
        <v>406</v>
      </c>
      <c r="C377" s="6" t="s">
        <v>91</v>
      </c>
      <c r="D377" s="6" t="s">
        <v>92</v>
      </c>
      <c r="E377" s="6" t="s">
        <v>26</v>
      </c>
      <c r="F377" s="7" t="s">
        <v>439</v>
      </c>
      <c r="G377" s="7">
        <v>603</v>
      </c>
      <c r="H377" s="6">
        <v>3</v>
      </c>
      <c r="I377" s="7">
        <v>6</v>
      </c>
      <c r="J377" s="6">
        <v>2</v>
      </c>
      <c r="K377" s="6">
        <v>8</v>
      </c>
      <c r="L377" s="7" t="s">
        <v>252</v>
      </c>
      <c r="M377" s="8" t="s">
        <v>31</v>
      </c>
      <c r="N377" s="9" t="s">
        <v>61</v>
      </c>
      <c r="O377" s="9" t="s">
        <v>259</v>
      </c>
      <c r="P377" s="10">
        <v>10.220000000000001</v>
      </c>
      <c r="Q377" s="10">
        <v>12.3</v>
      </c>
      <c r="R377" s="10">
        <v>44.3</v>
      </c>
      <c r="S377" s="15">
        <f t="shared" si="20"/>
        <v>10.185159090909092</v>
      </c>
      <c r="T377" s="10">
        <f t="shared" si="19"/>
        <v>8002.1789476617805</v>
      </c>
      <c r="U377" s="11">
        <f t="shared" si="18"/>
        <v>7138.4290344886531</v>
      </c>
      <c r="V377" s="10">
        <v>73.14</v>
      </c>
      <c r="W377" s="10">
        <v>61.83</v>
      </c>
      <c r="X377" s="7">
        <v>0</v>
      </c>
    </row>
    <row r="378" spans="1:24" x14ac:dyDescent="0.25">
      <c r="A378" s="3">
        <v>2025</v>
      </c>
      <c r="B378" s="2" t="s">
        <v>406</v>
      </c>
      <c r="C378" s="6" t="s">
        <v>91</v>
      </c>
      <c r="D378" s="6" t="s">
        <v>92</v>
      </c>
      <c r="E378" s="6" t="s">
        <v>26</v>
      </c>
      <c r="F378" s="7" t="s">
        <v>440</v>
      </c>
      <c r="G378" s="7">
        <v>604</v>
      </c>
      <c r="H378" s="6">
        <v>4</v>
      </c>
      <c r="I378" s="7">
        <v>6</v>
      </c>
      <c r="J378" s="6">
        <v>2</v>
      </c>
      <c r="K378" s="6">
        <v>13</v>
      </c>
      <c r="L378" s="7" t="s">
        <v>252</v>
      </c>
      <c r="M378" s="8" t="s">
        <v>472</v>
      </c>
      <c r="N378" s="9" t="s">
        <v>59</v>
      </c>
      <c r="O378" s="9" t="s">
        <v>257</v>
      </c>
      <c r="P378" s="10">
        <v>12.3</v>
      </c>
      <c r="Q378" s="10">
        <v>10.3</v>
      </c>
      <c r="R378" s="10">
        <v>45.3</v>
      </c>
      <c r="S378" s="15">
        <f t="shared" si="20"/>
        <v>12.537613636363638</v>
      </c>
      <c r="T378" s="10">
        <f t="shared" si="19"/>
        <v>9850.4330663205583</v>
      </c>
      <c r="U378" s="11">
        <f t="shared" si="18"/>
        <v>8787.183823657946</v>
      </c>
      <c r="V378" s="10">
        <v>72.790000000000006</v>
      </c>
      <c r="W378" s="10">
        <v>60.04</v>
      </c>
      <c r="X378" s="7">
        <v>0</v>
      </c>
    </row>
    <row r="379" spans="1:24" x14ac:dyDescent="0.25">
      <c r="A379" s="3">
        <v>2025</v>
      </c>
      <c r="B379" s="2" t="s">
        <v>406</v>
      </c>
      <c r="C379" s="6" t="s">
        <v>91</v>
      </c>
      <c r="D379" s="6" t="s">
        <v>92</v>
      </c>
      <c r="E379" s="6" t="s">
        <v>26</v>
      </c>
      <c r="F379" s="7" t="s">
        <v>441</v>
      </c>
      <c r="G379" s="7">
        <v>605</v>
      </c>
      <c r="H379" s="6">
        <v>5</v>
      </c>
      <c r="I379" s="7">
        <v>6</v>
      </c>
      <c r="J379" s="6">
        <v>3</v>
      </c>
      <c r="K379" s="6">
        <v>1</v>
      </c>
      <c r="L379" s="7" t="s">
        <v>252</v>
      </c>
      <c r="M379" s="8" t="s">
        <v>471</v>
      </c>
      <c r="N379" s="8" t="s">
        <v>471</v>
      </c>
      <c r="O379" s="8" t="s">
        <v>471</v>
      </c>
      <c r="P379" s="10">
        <v>12.2</v>
      </c>
      <c r="Q379" s="10">
        <v>9.48</v>
      </c>
      <c r="R379" s="10">
        <v>45.5</v>
      </c>
      <c r="S379" s="15">
        <f t="shared" si="20"/>
        <v>12.549363636363635</v>
      </c>
      <c r="T379" s="10">
        <f t="shared" si="19"/>
        <v>9859.6646945941848</v>
      </c>
      <c r="U379" s="11">
        <f t="shared" si="18"/>
        <v>8795.4189960697458</v>
      </c>
      <c r="V379" s="10">
        <v>72.06</v>
      </c>
      <c r="W379" s="10">
        <v>56</v>
      </c>
      <c r="X379" s="7">
        <v>1</v>
      </c>
    </row>
    <row r="380" spans="1:24" x14ac:dyDescent="0.25">
      <c r="A380" s="3">
        <v>2025</v>
      </c>
      <c r="B380" s="2" t="s">
        <v>406</v>
      </c>
      <c r="C380" s="6" t="s">
        <v>91</v>
      </c>
      <c r="D380" s="6" t="s">
        <v>92</v>
      </c>
      <c r="E380" s="6" t="s">
        <v>26</v>
      </c>
      <c r="F380" s="7" t="s">
        <v>442</v>
      </c>
      <c r="G380" s="7">
        <v>606</v>
      </c>
      <c r="H380" s="6">
        <v>6</v>
      </c>
      <c r="I380" s="7">
        <v>6</v>
      </c>
      <c r="J380" s="6">
        <v>3</v>
      </c>
      <c r="K380" s="6">
        <v>15</v>
      </c>
      <c r="L380" s="7" t="s">
        <v>252</v>
      </c>
      <c r="M380" s="8" t="s">
        <v>254</v>
      </c>
      <c r="N380" s="8" t="s">
        <v>470</v>
      </c>
      <c r="O380" s="9" t="s">
        <v>258</v>
      </c>
      <c r="P380" s="10">
        <v>13.72</v>
      </c>
      <c r="Q380" s="10">
        <v>11.4</v>
      </c>
      <c r="R380" s="10">
        <v>44.8</v>
      </c>
      <c r="S380" s="15">
        <f t="shared" si="20"/>
        <v>13.813545454545455</v>
      </c>
      <c r="T380" s="10">
        <f t="shared" si="19"/>
        <v>10852.895044869292</v>
      </c>
      <c r="U380" s="11">
        <f t="shared" si="18"/>
        <v>9681.4407179922327</v>
      </c>
      <c r="V380" s="10">
        <v>71.760000000000005</v>
      </c>
      <c r="W380" s="10">
        <v>58.32</v>
      </c>
      <c r="X380" s="7">
        <v>1</v>
      </c>
    </row>
    <row r="381" spans="1:24" x14ac:dyDescent="0.25">
      <c r="A381" s="3">
        <v>2025</v>
      </c>
      <c r="B381" s="2" t="s">
        <v>406</v>
      </c>
      <c r="C381" s="6" t="s">
        <v>91</v>
      </c>
      <c r="D381" s="6" t="s">
        <v>92</v>
      </c>
      <c r="E381" s="6" t="s">
        <v>26</v>
      </c>
      <c r="F381" s="7" t="s">
        <v>443</v>
      </c>
      <c r="G381" s="7">
        <v>701</v>
      </c>
      <c r="H381" s="6">
        <v>1</v>
      </c>
      <c r="I381" s="7">
        <v>7</v>
      </c>
      <c r="J381" s="6">
        <v>1</v>
      </c>
      <c r="K381" s="6">
        <v>13</v>
      </c>
      <c r="L381" s="7" t="s">
        <v>252</v>
      </c>
      <c r="M381" s="8" t="s">
        <v>472</v>
      </c>
      <c r="N381" s="9" t="s">
        <v>59</v>
      </c>
      <c r="O381" s="9" t="s">
        <v>257</v>
      </c>
      <c r="P381" s="10">
        <v>13.48</v>
      </c>
      <c r="Q381" s="10">
        <v>12.3</v>
      </c>
      <c r="R381" s="10">
        <v>44.6</v>
      </c>
      <c r="S381" s="15">
        <f t="shared" si="20"/>
        <v>13.434045454545455</v>
      </c>
      <c r="T381" s="10">
        <f t="shared" si="19"/>
        <v>10554.733093393423</v>
      </c>
      <c r="U381" s="11">
        <f t="shared" si="18"/>
        <v>9415.4621707345432</v>
      </c>
      <c r="V381" s="10">
        <v>72.91</v>
      </c>
      <c r="W381" s="10">
        <v>63.17</v>
      </c>
      <c r="X381" s="7">
        <v>1</v>
      </c>
    </row>
    <row r="382" spans="1:24" x14ac:dyDescent="0.25">
      <c r="A382" s="3">
        <v>2025</v>
      </c>
      <c r="B382" s="2" t="s">
        <v>406</v>
      </c>
      <c r="C382" s="6" t="s">
        <v>91</v>
      </c>
      <c r="D382" s="6" t="s">
        <v>92</v>
      </c>
      <c r="E382" s="6" t="s">
        <v>26</v>
      </c>
      <c r="F382" s="7" t="s">
        <v>444</v>
      </c>
      <c r="G382" s="7">
        <v>702</v>
      </c>
      <c r="H382" s="6">
        <v>2</v>
      </c>
      <c r="I382" s="7">
        <v>7</v>
      </c>
      <c r="J382" s="6">
        <v>1</v>
      </c>
      <c r="K382" s="6">
        <v>6</v>
      </c>
      <c r="L382" s="7" t="s">
        <v>252</v>
      </c>
      <c r="M382" s="8" t="s">
        <v>31</v>
      </c>
      <c r="N382" s="9" t="s">
        <v>62</v>
      </c>
      <c r="O382" s="9" t="s">
        <v>259</v>
      </c>
      <c r="P382" s="10">
        <v>13.55</v>
      </c>
      <c r="Q382" s="10">
        <v>12.9</v>
      </c>
      <c r="R382" s="10">
        <v>44.1</v>
      </c>
      <c r="S382" s="15">
        <f t="shared" si="20"/>
        <v>13.411420454545455</v>
      </c>
      <c r="T382" s="10">
        <f t="shared" si="19"/>
        <v>10536.95729852612</v>
      </c>
      <c r="U382" s="11">
        <f t="shared" si="18"/>
        <v>9399.6050834309717</v>
      </c>
      <c r="V382" s="10">
        <v>73.2</v>
      </c>
      <c r="W382" s="10">
        <v>62.4</v>
      </c>
      <c r="X382" s="7">
        <v>1</v>
      </c>
    </row>
    <row r="383" spans="1:24" x14ac:dyDescent="0.25">
      <c r="A383" s="3">
        <v>2025</v>
      </c>
      <c r="B383" s="2" t="s">
        <v>406</v>
      </c>
      <c r="C383" s="6" t="s">
        <v>91</v>
      </c>
      <c r="D383" s="6" t="s">
        <v>92</v>
      </c>
      <c r="E383" s="6" t="s">
        <v>26</v>
      </c>
      <c r="F383" s="7" t="s">
        <v>445</v>
      </c>
      <c r="G383" s="7">
        <v>703</v>
      </c>
      <c r="H383" s="6">
        <v>3</v>
      </c>
      <c r="I383" s="7">
        <v>7</v>
      </c>
      <c r="J383" s="6">
        <v>2</v>
      </c>
      <c r="K383" s="6">
        <v>1</v>
      </c>
      <c r="L383" s="7" t="s">
        <v>252</v>
      </c>
      <c r="M383" s="8" t="s">
        <v>471</v>
      </c>
      <c r="N383" s="8" t="s">
        <v>471</v>
      </c>
      <c r="O383" s="8" t="s">
        <v>471</v>
      </c>
      <c r="P383" s="10">
        <v>10.8</v>
      </c>
      <c r="Q383" s="10">
        <v>12.4</v>
      </c>
      <c r="R383" s="10">
        <v>44.4</v>
      </c>
      <c r="S383" s="15">
        <f t="shared" si="20"/>
        <v>10.750909090909092</v>
      </c>
      <c r="T383" s="10">
        <f t="shared" si="19"/>
        <v>8446.6720281557809</v>
      </c>
      <c r="U383" s="11">
        <f t="shared" si="18"/>
        <v>7534.9438252950767</v>
      </c>
      <c r="V383" s="10">
        <v>73.06</v>
      </c>
      <c r="W383" s="10">
        <v>60.53</v>
      </c>
      <c r="X383" s="7">
        <v>2</v>
      </c>
    </row>
    <row r="384" spans="1:24" x14ac:dyDescent="0.25">
      <c r="A384" s="3">
        <v>2025</v>
      </c>
      <c r="B384" s="2" t="s">
        <v>406</v>
      </c>
      <c r="C384" s="6" t="s">
        <v>91</v>
      </c>
      <c r="D384" s="6" t="s">
        <v>92</v>
      </c>
      <c r="E384" s="6" t="s">
        <v>26</v>
      </c>
      <c r="F384" s="7" t="s">
        <v>446</v>
      </c>
      <c r="G384" s="7">
        <v>704</v>
      </c>
      <c r="H384" s="6">
        <v>4</v>
      </c>
      <c r="I384" s="7">
        <v>7</v>
      </c>
      <c r="J384" s="6">
        <v>2</v>
      </c>
      <c r="K384" s="6">
        <v>4</v>
      </c>
      <c r="L384" s="7" t="s">
        <v>252</v>
      </c>
      <c r="M384" s="8" t="s">
        <v>31</v>
      </c>
      <c r="N384" s="9" t="s">
        <v>58</v>
      </c>
      <c r="O384" s="9" t="s">
        <v>259</v>
      </c>
      <c r="P384" s="10">
        <v>13.65</v>
      </c>
      <c r="Q384" s="10">
        <v>13</v>
      </c>
      <c r="R384" s="10">
        <v>44.1</v>
      </c>
      <c r="S384" s="15">
        <f t="shared" si="20"/>
        <v>13.494886363636365</v>
      </c>
      <c r="T384" s="10">
        <f t="shared" si="19"/>
        <v>10602.53400033443</v>
      </c>
      <c r="U384" s="11">
        <f t="shared" si="18"/>
        <v>9458.1034793349063</v>
      </c>
      <c r="V384" s="10">
        <v>72.27</v>
      </c>
      <c r="W384" s="10">
        <v>59.86</v>
      </c>
      <c r="X384" s="7">
        <v>1</v>
      </c>
    </row>
    <row r="385" spans="1:24" x14ac:dyDescent="0.25">
      <c r="A385" s="3">
        <v>2025</v>
      </c>
      <c r="B385" s="2" t="s">
        <v>406</v>
      </c>
      <c r="C385" s="6" t="s">
        <v>91</v>
      </c>
      <c r="D385" s="6" t="s">
        <v>92</v>
      </c>
      <c r="E385" s="6" t="s">
        <v>26</v>
      </c>
      <c r="F385" s="7" t="s">
        <v>447</v>
      </c>
      <c r="G385" s="7">
        <v>705</v>
      </c>
      <c r="H385" s="6">
        <v>5</v>
      </c>
      <c r="I385" s="7">
        <v>7</v>
      </c>
      <c r="J385" s="6">
        <v>3</v>
      </c>
      <c r="K385" s="6">
        <v>7</v>
      </c>
      <c r="L385" s="7" t="s">
        <v>252</v>
      </c>
      <c r="M385" s="8" t="s">
        <v>31</v>
      </c>
      <c r="N385" s="9" t="s">
        <v>59</v>
      </c>
      <c r="O385" s="9" t="s">
        <v>259</v>
      </c>
      <c r="P385" s="10">
        <v>13.85</v>
      </c>
      <c r="Q385" s="10">
        <v>11</v>
      </c>
      <c r="R385" s="10">
        <v>45</v>
      </c>
      <c r="S385" s="15">
        <f t="shared" si="20"/>
        <v>14.007386363636362</v>
      </c>
      <c r="T385" s="10">
        <f t="shared" si="19"/>
        <v>11005.190127162841</v>
      </c>
      <c r="U385" s="11">
        <f t="shared" si="18"/>
        <v>9817.2971696367895</v>
      </c>
      <c r="V385" s="10">
        <v>72.47</v>
      </c>
      <c r="W385" s="10">
        <v>59.73</v>
      </c>
      <c r="X385" s="7">
        <v>1</v>
      </c>
    </row>
    <row r="386" spans="1:24" x14ac:dyDescent="0.25">
      <c r="A386" s="3">
        <v>2025</v>
      </c>
      <c r="B386" s="2" t="s">
        <v>406</v>
      </c>
      <c r="C386" s="6" t="s">
        <v>91</v>
      </c>
      <c r="D386" s="6" t="s">
        <v>92</v>
      </c>
      <c r="E386" s="6" t="s">
        <v>26</v>
      </c>
      <c r="F386" s="7" t="s">
        <v>448</v>
      </c>
      <c r="G386" s="7">
        <v>706</v>
      </c>
      <c r="H386" s="6">
        <v>6</v>
      </c>
      <c r="I386" s="7">
        <v>7</v>
      </c>
      <c r="J386" s="6">
        <v>3</v>
      </c>
      <c r="K386" s="6">
        <v>8</v>
      </c>
      <c r="L386" s="7" t="s">
        <v>252</v>
      </c>
      <c r="M386" s="8" t="s">
        <v>31</v>
      </c>
      <c r="N386" s="9" t="s">
        <v>61</v>
      </c>
      <c r="O386" s="9" t="s">
        <v>259</v>
      </c>
      <c r="P386" s="10">
        <v>13.06</v>
      </c>
      <c r="Q386" s="10">
        <v>10.8</v>
      </c>
      <c r="R386" s="10">
        <v>45.2</v>
      </c>
      <c r="S386" s="15">
        <f t="shared" si="20"/>
        <v>13.238090909090911</v>
      </c>
      <c r="T386" s="10">
        <f t="shared" si="19"/>
        <v>10400.777389379475</v>
      </c>
      <c r="U386" s="11">
        <f t="shared" si="18"/>
        <v>9278.1243437818684</v>
      </c>
      <c r="V386" s="10">
        <v>72.31</v>
      </c>
      <c r="W386" s="10">
        <v>61.13</v>
      </c>
      <c r="X386" s="7">
        <v>1</v>
      </c>
    </row>
    <row r="387" spans="1:24" x14ac:dyDescent="0.25">
      <c r="A387" s="3">
        <v>2025</v>
      </c>
      <c r="B387" s="2" t="s">
        <v>406</v>
      </c>
      <c r="C387" s="6" t="s">
        <v>91</v>
      </c>
      <c r="D387" s="6" t="s">
        <v>92</v>
      </c>
      <c r="E387" s="6" t="s">
        <v>26</v>
      </c>
      <c r="F387" s="7" t="s">
        <v>449</v>
      </c>
      <c r="G387" s="7">
        <v>801</v>
      </c>
      <c r="H387" s="6">
        <v>1</v>
      </c>
      <c r="I387" s="7">
        <v>8</v>
      </c>
      <c r="J387" s="6">
        <v>1</v>
      </c>
      <c r="K387" s="6">
        <v>20</v>
      </c>
      <c r="L387" s="7" t="s">
        <v>252</v>
      </c>
      <c r="M387" s="8" t="s">
        <v>254</v>
      </c>
      <c r="N387" s="9" t="s">
        <v>61</v>
      </c>
      <c r="O387" s="9" t="s">
        <v>258</v>
      </c>
      <c r="P387" s="10">
        <v>13.78</v>
      </c>
      <c r="Q387" s="10">
        <v>12.9</v>
      </c>
      <c r="R387" s="10">
        <v>44.2</v>
      </c>
      <c r="S387" s="15">
        <f t="shared" si="20"/>
        <v>13.63906818181818</v>
      </c>
      <c r="T387" s="10">
        <f t="shared" si="19"/>
        <v>10715.81340027232</v>
      </c>
      <c r="U387" s="11">
        <f t="shared" si="18"/>
        <v>9559.1555756220514</v>
      </c>
      <c r="V387" s="10">
        <v>72.650000000000006</v>
      </c>
      <c r="W387" s="10">
        <v>62.38</v>
      </c>
      <c r="X387" s="7">
        <v>1</v>
      </c>
    </row>
    <row r="388" spans="1:24" x14ac:dyDescent="0.25">
      <c r="A388" s="3">
        <v>2025</v>
      </c>
      <c r="B388" s="2" t="s">
        <v>406</v>
      </c>
      <c r="C388" s="6" t="s">
        <v>91</v>
      </c>
      <c r="D388" s="6" t="s">
        <v>92</v>
      </c>
      <c r="E388" s="6" t="s">
        <v>26</v>
      </c>
      <c r="F388" s="7" t="s">
        <v>450</v>
      </c>
      <c r="G388" s="7">
        <v>802</v>
      </c>
      <c r="H388" s="6">
        <v>2</v>
      </c>
      <c r="I388" s="7">
        <v>8</v>
      </c>
      <c r="J388" s="6">
        <v>1</v>
      </c>
      <c r="K388" s="6">
        <v>5</v>
      </c>
      <c r="L388" s="7" t="s">
        <v>252</v>
      </c>
      <c r="M388" s="8" t="s">
        <v>31</v>
      </c>
      <c r="N388" s="9" t="s">
        <v>60</v>
      </c>
      <c r="O388" s="9" t="s">
        <v>259</v>
      </c>
      <c r="P388" s="10">
        <v>14.29</v>
      </c>
      <c r="Q388" s="10">
        <v>11</v>
      </c>
      <c r="R388" s="10">
        <v>45.1</v>
      </c>
      <c r="S388" s="15">
        <f t="shared" si="20"/>
        <v>14.452386363636363</v>
      </c>
      <c r="T388" s="10">
        <f t="shared" si="19"/>
        <v>11354.81349582361</v>
      </c>
      <c r="U388" s="11">
        <f t="shared" si="18"/>
        <v>10129.182422679401</v>
      </c>
      <c r="V388" s="10">
        <v>72.599999999999994</v>
      </c>
      <c r="W388" s="10">
        <v>60.72</v>
      </c>
      <c r="X388" s="7">
        <v>1</v>
      </c>
    </row>
    <row r="389" spans="1:24" x14ac:dyDescent="0.25">
      <c r="A389" s="3">
        <v>2025</v>
      </c>
      <c r="B389" s="2" t="s">
        <v>406</v>
      </c>
      <c r="C389" s="6" t="s">
        <v>91</v>
      </c>
      <c r="D389" s="6" t="s">
        <v>92</v>
      </c>
      <c r="E389" s="6" t="s">
        <v>26</v>
      </c>
      <c r="F389" s="7" t="s">
        <v>451</v>
      </c>
      <c r="G389" s="7">
        <v>803</v>
      </c>
      <c r="H389" s="6">
        <v>3</v>
      </c>
      <c r="I389" s="7">
        <v>8</v>
      </c>
      <c r="J389" s="6">
        <v>2</v>
      </c>
      <c r="K389" s="6">
        <v>18</v>
      </c>
      <c r="L389" s="7" t="s">
        <v>252</v>
      </c>
      <c r="M389" s="8" t="s">
        <v>254</v>
      </c>
      <c r="N389" s="9" t="s">
        <v>62</v>
      </c>
      <c r="O389" s="9" t="s">
        <v>258</v>
      </c>
      <c r="P389" s="10">
        <v>13.3</v>
      </c>
      <c r="Q389" s="10">
        <v>12.3</v>
      </c>
      <c r="R389" s="10">
        <v>44.5</v>
      </c>
      <c r="S389" s="15">
        <f t="shared" si="20"/>
        <v>13.254659090909092</v>
      </c>
      <c r="T389" s="10">
        <f t="shared" si="19"/>
        <v>10413.794520929714</v>
      </c>
      <c r="U389" s="11">
        <f t="shared" si="18"/>
        <v>9289.7364147455082</v>
      </c>
      <c r="V389" s="10">
        <v>72.61</v>
      </c>
      <c r="W389" s="10">
        <v>61.92</v>
      </c>
      <c r="X389" s="7">
        <v>2</v>
      </c>
    </row>
    <row r="390" spans="1:24" x14ac:dyDescent="0.25">
      <c r="A390" s="3">
        <v>2025</v>
      </c>
      <c r="B390" s="2" t="s">
        <v>406</v>
      </c>
      <c r="C390" s="6" t="s">
        <v>91</v>
      </c>
      <c r="D390" s="6" t="s">
        <v>92</v>
      </c>
      <c r="E390" s="6" t="s">
        <v>26</v>
      </c>
      <c r="F390" s="7" t="s">
        <v>452</v>
      </c>
      <c r="G390" s="7">
        <v>804</v>
      </c>
      <c r="H390" s="6">
        <v>4</v>
      </c>
      <c r="I390" s="7">
        <v>8</v>
      </c>
      <c r="J390" s="6">
        <v>2</v>
      </c>
      <c r="K390" s="6">
        <v>5</v>
      </c>
      <c r="L390" s="7" t="s">
        <v>252</v>
      </c>
      <c r="M390" s="8" t="s">
        <v>31</v>
      </c>
      <c r="N390" s="9" t="s">
        <v>60</v>
      </c>
      <c r="O390" s="9" t="s">
        <v>259</v>
      </c>
      <c r="P390" s="10">
        <v>14.45</v>
      </c>
      <c r="Q390" s="10">
        <v>10.8</v>
      </c>
      <c r="R390" s="10">
        <v>45.2</v>
      </c>
      <c r="S390" s="15">
        <f t="shared" si="20"/>
        <v>14.647045454545454</v>
      </c>
      <c r="T390" s="10">
        <f t="shared" si="19"/>
        <v>11507.751399428284</v>
      </c>
      <c r="U390" s="11">
        <f t="shared" si="18"/>
        <v>10265.612309927104</v>
      </c>
      <c r="V390" s="10">
        <v>72.73</v>
      </c>
      <c r="W390" s="10">
        <v>62.3</v>
      </c>
      <c r="X390" s="7">
        <v>1</v>
      </c>
    </row>
    <row r="391" spans="1:24" x14ac:dyDescent="0.25">
      <c r="A391" s="3">
        <v>2025</v>
      </c>
      <c r="B391" s="2" t="s">
        <v>406</v>
      </c>
      <c r="C391" s="6" t="s">
        <v>91</v>
      </c>
      <c r="D391" s="6" t="s">
        <v>92</v>
      </c>
      <c r="E391" s="6" t="s">
        <v>26</v>
      </c>
      <c r="F391" s="7" t="s">
        <v>453</v>
      </c>
      <c r="G391" s="7">
        <v>805</v>
      </c>
      <c r="H391" s="6">
        <v>5</v>
      </c>
      <c r="I391" s="7">
        <v>8</v>
      </c>
      <c r="J391" s="6">
        <v>3</v>
      </c>
      <c r="K391" s="6">
        <v>3</v>
      </c>
      <c r="L391" s="7" t="s">
        <v>252</v>
      </c>
      <c r="M391" s="8" t="s">
        <v>31</v>
      </c>
      <c r="N391" s="8" t="s">
        <v>470</v>
      </c>
      <c r="O391" s="9" t="s">
        <v>259</v>
      </c>
      <c r="P391" s="10">
        <v>13.99</v>
      </c>
      <c r="Q391" s="10">
        <v>10.9</v>
      </c>
      <c r="R391" s="10">
        <v>45.1</v>
      </c>
      <c r="S391" s="15">
        <f t="shared" si="20"/>
        <v>14.164875</v>
      </c>
      <c r="T391" s="10">
        <f t="shared" si="19"/>
        <v>11128.924301480249</v>
      </c>
      <c r="U391" s="11">
        <f t="shared" si="18"/>
        <v>9927.6755588583837</v>
      </c>
      <c r="V391" s="10">
        <v>72.75</v>
      </c>
      <c r="W391" s="10">
        <v>60.81</v>
      </c>
      <c r="X391" s="7">
        <v>1</v>
      </c>
    </row>
    <row r="392" spans="1:24" x14ac:dyDescent="0.25">
      <c r="A392" s="3">
        <v>2025</v>
      </c>
      <c r="B392" s="2" t="s">
        <v>406</v>
      </c>
      <c r="C392" s="6" t="s">
        <v>91</v>
      </c>
      <c r="D392" s="6" t="s">
        <v>92</v>
      </c>
      <c r="E392" s="6" t="s">
        <v>26</v>
      </c>
      <c r="F392" s="7" t="s">
        <v>454</v>
      </c>
      <c r="G392" s="7">
        <v>806</v>
      </c>
      <c r="H392" s="6">
        <v>6</v>
      </c>
      <c r="I392" s="7">
        <v>8</v>
      </c>
      <c r="J392" s="6">
        <v>3</v>
      </c>
      <c r="K392" s="6">
        <v>2</v>
      </c>
      <c r="L392" s="7" t="s">
        <v>252</v>
      </c>
      <c r="M392" s="8" t="s">
        <v>471</v>
      </c>
      <c r="N392" s="8" t="s">
        <v>471</v>
      </c>
      <c r="O392" s="8" t="s">
        <v>471</v>
      </c>
      <c r="P392" s="10">
        <v>13.5</v>
      </c>
      <c r="Q392" s="10">
        <v>10.5</v>
      </c>
      <c r="R392" s="10">
        <v>45.2</v>
      </c>
      <c r="S392" s="15">
        <f t="shared" si="20"/>
        <v>13.730113636363637</v>
      </c>
      <c r="T392" s="10">
        <f t="shared" si="19"/>
        <v>10787.345127282282</v>
      </c>
      <c r="U392" s="11">
        <f t="shared" si="18"/>
        <v>9622.9662152384317</v>
      </c>
      <c r="V392" s="10">
        <v>71.7</v>
      </c>
      <c r="W392" s="10">
        <v>59.65</v>
      </c>
      <c r="X392" s="7">
        <v>1</v>
      </c>
    </row>
    <row r="393" spans="1:24" x14ac:dyDescent="0.25">
      <c r="A393" s="3">
        <v>2025</v>
      </c>
      <c r="B393" s="2" t="s">
        <v>406</v>
      </c>
      <c r="C393" s="6" t="s">
        <v>91</v>
      </c>
      <c r="D393" s="6" t="s">
        <v>92</v>
      </c>
      <c r="E393" s="6" t="s">
        <v>26</v>
      </c>
      <c r="F393" s="7" t="s">
        <v>455</v>
      </c>
      <c r="G393" s="7">
        <v>901</v>
      </c>
      <c r="H393" s="6">
        <v>1</v>
      </c>
      <c r="I393" s="7">
        <v>9</v>
      </c>
      <c r="J393" s="6">
        <v>1</v>
      </c>
      <c r="K393" s="6">
        <v>14</v>
      </c>
      <c r="L393" s="7" t="s">
        <v>252</v>
      </c>
      <c r="M393" s="8" t="s">
        <v>472</v>
      </c>
      <c r="N393" s="9" t="s">
        <v>61</v>
      </c>
      <c r="O393" s="9" t="s">
        <v>257</v>
      </c>
      <c r="P393" s="10">
        <v>13.59</v>
      </c>
      <c r="Q393" s="10">
        <v>12.5</v>
      </c>
      <c r="R393" s="10">
        <v>44.5</v>
      </c>
      <c r="S393" s="15">
        <f t="shared" si="20"/>
        <v>13.51278409090909</v>
      </c>
      <c r="T393" s="10">
        <f t="shared" si="19"/>
        <v>10616.595716515241</v>
      </c>
      <c r="U393" s="11">
        <f t="shared" si="18"/>
        <v>9470.6473831536496</v>
      </c>
      <c r="V393" s="10">
        <v>72.180000000000007</v>
      </c>
      <c r="W393" s="10">
        <v>60.01</v>
      </c>
      <c r="X393" s="7">
        <v>0</v>
      </c>
    </row>
    <row r="394" spans="1:24" x14ac:dyDescent="0.25">
      <c r="A394" s="3">
        <v>2025</v>
      </c>
      <c r="B394" s="2" t="s">
        <v>406</v>
      </c>
      <c r="C394" s="6" t="s">
        <v>91</v>
      </c>
      <c r="D394" s="6" t="s">
        <v>92</v>
      </c>
      <c r="E394" s="6" t="s">
        <v>26</v>
      </c>
      <c r="F394" s="7" t="s">
        <v>456</v>
      </c>
      <c r="G394" s="7">
        <v>902</v>
      </c>
      <c r="H394" s="6">
        <v>2</v>
      </c>
      <c r="I394" s="7">
        <v>9</v>
      </c>
      <c r="J394" s="6">
        <v>1</v>
      </c>
      <c r="K394" s="6">
        <v>9</v>
      </c>
      <c r="L394" s="7" t="s">
        <v>252</v>
      </c>
      <c r="M394" s="8" t="s">
        <v>472</v>
      </c>
      <c r="N394" s="8" t="s">
        <v>470</v>
      </c>
      <c r="O394" s="9" t="s">
        <v>257</v>
      </c>
      <c r="P394" s="10">
        <v>12.5</v>
      </c>
      <c r="Q394" s="10">
        <v>11.2</v>
      </c>
      <c r="R394" s="10">
        <v>45</v>
      </c>
      <c r="S394" s="15">
        <f t="shared" si="20"/>
        <v>12.613636363636363</v>
      </c>
      <c r="T394" s="10">
        <f t="shared" si="19"/>
        <v>9910.1618798124</v>
      </c>
      <c r="U394" s="11">
        <f t="shared" si="18"/>
        <v>8840.4655484499563</v>
      </c>
      <c r="V394" s="10">
        <v>71.87</v>
      </c>
      <c r="W394" s="10">
        <v>58.58</v>
      </c>
      <c r="X394" s="7">
        <v>1</v>
      </c>
    </row>
    <row r="395" spans="1:24" x14ac:dyDescent="0.25">
      <c r="A395" s="3">
        <v>2025</v>
      </c>
      <c r="B395" s="2" t="s">
        <v>406</v>
      </c>
      <c r="C395" s="6" t="s">
        <v>91</v>
      </c>
      <c r="D395" s="6" t="s">
        <v>92</v>
      </c>
      <c r="E395" s="6" t="s">
        <v>26</v>
      </c>
      <c r="F395" s="7" t="s">
        <v>457</v>
      </c>
      <c r="G395" s="7">
        <v>903</v>
      </c>
      <c r="H395" s="6">
        <v>3</v>
      </c>
      <c r="I395" s="7">
        <v>9</v>
      </c>
      <c r="J395" s="6">
        <v>2</v>
      </c>
      <c r="K395" s="6">
        <v>14</v>
      </c>
      <c r="L395" s="7" t="s">
        <v>252</v>
      </c>
      <c r="M395" s="8" t="s">
        <v>472</v>
      </c>
      <c r="N395" s="9" t="s">
        <v>61</v>
      </c>
      <c r="O395" s="9" t="s">
        <v>257</v>
      </c>
      <c r="P395" s="10">
        <v>11.53</v>
      </c>
      <c r="Q395" s="10">
        <v>16.5</v>
      </c>
      <c r="R395" s="10">
        <v>41.4</v>
      </c>
      <c r="S395" s="15">
        <f t="shared" si="20"/>
        <v>10.940397727272726</v>
      </c>
      <c r="T395" s="10">
        <f t="shared" si="19"/>
        <v>8595.5476581971052</v>
      </c>
      <c r="U395" s="11">
        <f t="shared" ref="U395:U404" si="21">T395/1.121</f>
        <v>7667.7499181062494</v>
      </c>
      <c r="V395" s="10">
        <v>72.06</v>
      </c>
      <c r="W395" s="10">
        <v>60.62</v>
      </c>
      <c r="X395" s="7">
        <v>1</v>
      </c>
    </row>
    <row r="396" spans="1:24" x14ac:dyDescent="0.25">
      <c r="A396" s="3">
        <v>2025</v>
      </c>
      <c r="B396" s="2" t="s">
        <v>406</v>
      </c>
      <c r="C396" s="6" t="s">
        <v>91</v>
      </c>
      <c r="D396" s="6" t="s">
        <v>92</v>
      </c>
      <c r="E396" s="6" t="s">
        <v>26</v>
      </c>
      <c r="F396" s="7" t="s">
        <v>458</v>
      </c>
      <c r="G396" s="7">
        <v>904</v>
      </c>
      <c r="H396" s="6">
        <v>4</v>
      </c>
      <c r="I396" s="7">
        <v>9</v>
      </c>
      <c r="J396" s="6">
        <v>2</v>
      </c>
      <c r="K396" s="6">
        <v>12</v>
      </c>
      <c r="L396" s="7" t="s">
        <v>252</v>
      </c>
      <c r="M396" s="8" t="s">
        <v>472</v>
      </c>
      <c r="N396" s="9" t="s">
        <v>62</v>
      </c>
      <c r="O396" s="9" t="s">
        <v>257</v>
      </c>
      <c r="P396" s="10">
        <v>13.02</v>
      </c>
      <c r="Q396" s="10">
        <v>10.7</v>
      </c>
      <c r="R396" s="10">
        <v>45.2</v>
      </c>
      <c r="S396" s="15">
        <f t="shared" si="20"/>
        <v>13.21234090909091</v>
      </c>
      <c r="T396" s="10">
        <f t="shared" si="19"/>
        <v>10380.546374226631</v>
      </c>
      <c r="U396" s="11">
        <f t="shared" si="21"/>
        <v>9260.0770510496259</v>
      </c>
      <c r="V396" s="10">
        <v>72.72</v>
      </c>
      <c r="W396" s="10">
        <v>61.03</v>
      </c>
      <c r="X396" s="7">
        <v>0</v>
      </c>
    </row>
    <row r="397" spans="1:24" x14ac:dyDescent="0.25">
      <c r="A397" s="3">
        <v>2025</v>
      </c>
      <c r="B397" s="2" t="s">
        <v>406</v>
      </c>
      <c r="C397" s="6" t="s">
        <v>91</v>
      </c>
      <c r="D397" s="6" t="s">
        <v>92</v>
      </c>
      <c r="E397" s="6" t="s">
        <v>26</v>
      </c>
      <c r="F397" s="7" t="s">
        <v>459</v>
      </c>
      <c r="G397" s="7">
        <v>905</v>
      </c>
      <c r="H397" s="6">
        <v>5</v>
      </c>
      <c r="I397" s="7">
        <v>9</v>
      </c>
      <c r="J397" s="6">
        <v>3</v>
      </c>
      <c r="K397" s="6">
        <v>9</v>
      </c>
      <c r="L397" s="7" t="s">
        <v>252</v>
      </c>
      <c r="M397" s="8" t="s">
        <v>472</v>
      </c>
      <c r="N397" s="8" t="s">
        <v>470</v>
      </c>
      <c r="O397" s="9" t="s">
        <v>257</v>
      </c>
      <c r="P397" s="10">
        <v>13.13</v>
      </c>
      <c r="Q397" s="10">
        <v>11</v>
      </c>
      <c r="R397" s="10">
        <v>45.1</v>
      </c>
      <c r="S397" s="15">
        <f t="shared" si="20"/>
        <v>13.279204545454546</v>
      </c>
      <c r="T397" s="10">
        <f t="shared" si="19"/>
        <v>10433.079160263402</v>
      </c>
      <c r="U397" s="11">
        <f t="shared" si="21"/>
        <v>9306.9394828397872</v>
      </c>
      <c r="V397" s="10">
        <v>71.819999999999993</v>
      </c>
      <c r="W397" s="10">
        <v>59.1</v>
      </c>
      <c r="X397" s="7">
        <v>1</v>
      </c>
    </row>
    <row r="398" spans="1:24" x14ac:dyDescent="0.25">
      <c r="A398" s="3">
        <v>2025</v>
      </c>
      <c r="B398" s="2" t="s">
        <v>406</v>
      </c>
      <c r="C398" s="6" t="s">
        <v>91</v>
      </c>
      <c r="D398" s="6" t="s">
        <v>92</v>
      </c>
      <c r="E398" s="6" t="s">
        <v>26</v>
      </c>
      <c r="F398" s="7" t="s">
        <v>460</v>
      </c>
      <c r="G398" s="7">
        <v>906</v>
      </c>
      <c r="H398" s="6">
        <v>6</v>
      </c>
      <c r="I398" s="7">
        <v>9</v>
      </c>
      <c r="J398" s="6">
        <v>3</v>
      </c>
      <c r="K398" s="6">
        <v>20</v>
      </c>
      <c r="L398" s="7" t="s">
        <v>252</v>
      </c>
      <c r="M398" s="8" t="s">
        <v>254</v>
      </c>
      <c r="N398" s="9" t="s">
        <v>61</v>
      </c>
      <c r="O398" s="9" t="s">
        <v>258</v>
      </c>
      <c r="P398" s="10">
        <v>13.3</v>
      </c>
      <c r="Q398" s="10">
        <v>11.4</v>
      </c>
      <c r="R398" s="10">
        <v>44.8</v>
      </c>
      <c r="S398" s="15">
        <f t="shared" si="20"/>
        <v>13.39068181818182</v>
      </c>
      <c r="T398" s="10">
        <f t="shared" si="19"/>
        <v>10520.663563903907</v>
      </c>
      <c r="U398" s="11">
        <f t="shared" si="21"/>
        <v>9385.0700837679815</v>
      </c>
      <c r="V398" s="10">
        <v>72.010000000000005</v>
      </c>
      <c r="W398" s="10">
        <v>60.14</v>
      </c>
      <c r="X398" s="7">
        <v>1</v>
      </c>
    </row>
    <row r="399" spans="1:24" x14ac:dyDescent="0.25">
      <c r="A399" s="3">
        <v>2025</v>
      </c>
      <c r="B399" s="2" t="s">
        <v>406</v>
      </c>
      <c r="C399" s="6" t="s">
        <v>91</v>
      </c>
      <c r="D399" s="6" t="s">
        <v>92</v>
      </c>
      <c r="E399" s="6" t="s">
        <v>26</v>
      </c>
      <c r="F399" s="7" t="s">
        <v>461</v>
      </c>
      <c r="G399" s="7">
        <v>1001</v>
      </c>
      <c r="H399" s="6">
        <v>1</v>
      </c>
      <c r="I399" s="7">
        <v>10</v>
      </c>
      <c r="J399" s="6">
        <v>1</v>
      </c>
      <c r="K399" s="6">
        <v>16</v>
      </c>
      <c r="L399" s="7" t="s">
        <v>252</v>
      </c>
      <c r="M399" s="8" t="s">
        <v>254</v>
      </c>
      <c r="N399" s="9" t="s">
        <v>58</v>
      </c>
      <c r="O399" s="9" t="s">
        <v>258</v>
      </c>
      <c r="P399" s="10">
        <v>13.63</v>
      </c>
      <c r="Q399" s="10">
        <v>12.9</v>
      </c>
      <c r="R399" s="10">
        <v>44.1</v>
      </c>
      <c r="S399" s="15">
        <f t="shared" si="20"/>
        <v>13.490602272727275</v>
      </c>
      <c r="T399" s="10">
        <f t="shared" si="19"/>
        <v>10599.168116524801</v>
      </c>
      <c r="U399" s="11">
        <f t="shared" si="21"/>
        <v>9455.1009068017847</v>
      </c>
      <c r="V399" s="10">
        <v>72.06</v>
      </c>
      <c r="W399" s="10">
        <v>60.59</v>
      </c>
      <c r="X399" s="7">
        <v>1</v>
      </c>
    </row>
    <row r="400" spans="1:24" x14ac:dyDescent="0.25">
      <c r="A400" s="3">
        <v>2025</v>
      </c>
      <c r="B400" s="2" t="s">
        <v>406</v>
      </c>
      <c r="C400" s="6" t="s">
        <v>91</v>
      </c>
      <c r="D400" s="6" t="s">
        <v>92</v>
      </c>
      <c r="E400" s="6" t="s">
        <v>26</v>
      </c>
      <c r="F400" s="7" t="s">
        <v>462</v>
      </c>
      <c r="G400" s="7">
        <v>1002</v>
      </c>
      <c r="H400" s="6">
        <v>2</v>
      </c>
      <c r="I400" s="7">
        <v>10</v>
      </c>
      <c r="J400" s="6">
        <v>1</v>
      </c>
      <c r="K400" s="6">
        <v>18</v>
      </c>
      <c r="L400" s="7" t="s">
        <v>252</v>
      </c>
      <c r="M400" s="8" t="s">
        <v>254</v>
      </c>
      <c r="N400" s="9" t="s">
        <v>62</v>
      </c>
      <c r="O400" s="9" t="s">
        <v>258</v>
      </c>
      <c r="P400" s="10">
        <v>14.59</v>
      </c>
      <c r="Q400" s="10">
        <v>12.4</v>
      </c>
      <c r="R400" s="10">
        <v>44.5</v>
      </c>
      <c r="S400" s="15">
        <f t="shared" si="20"/>
        <v>14.523681818181817</v>
      </c>
      <c r="T400" s="10">
        <f t="shared" si="19"/>
        <v>11410.828230628964</v>
      </c>
      <c r="U400" s="11">
        <f t="shared" si="21"/>
        <v>10179.150963986587</v>
      </c>
      <c r="V400" s="10">
        <v>71.87</v>
      </c>
      <c r="W400" s="10">
        <v>60.66</v>
      </c>
      <c r="X400" s="7">
        <v>0</v>
      </c>
    </row>
    <row r="401" spans="1:24" x14ac:dyDescent="0.25">
      <c r="A401" s="3">
        <v>2025</v>
      </c>
      <c r="B401" s="2" t="s">
        <v>406</v>
      </c>
      <c r="C401" s="6" t="s">
        <v>91</v>
      </c>
      <c r="D401" s="6" t="s">
        <v>92</v>
      </c>
      <c r="E401" s="6" t="s">
        <v>26</v>
      </c>
      <c r="F401" s="7" t="s">
        <v>463</v>
      </c>
      <c r="G401" s="7">
        <v>1003</v>
      </c>
      <c r="H401" s="6">
        <v>3</v>
      </c>
      <c r="I401" s="7">
        <v>10</v>
      </c>
      <c r="J401" s="6">
        <v>2</v>
      </c>
      <c r="K401" s="6">
        <v>10</v>
      </c>
      <c r="L401" s="7" t="s">
        <v>252</v>
      </c>
      <c r="M401" s="8" t="s">
        <v>472</v>
      </c>
      <c r="N401" s="9" t="s">
        <v>58</v>
      </c>
      <c r="O401" s="9" t="s">
        <v>257</v>
      </c>
      <c r="P401" s="10">
        <v>12.96</v>
      </c>
      <c r="Q401" s="10">
        <v>12.9</v>
      </c>
      <c r="R401" s="10">
        <v>44</v>
      </c>
      <c r="S401" s="15">
        <f t="shared" si="20"/>
        <v>12.827454545454547</v>
      </c>
      <c r="T401" s="10">
        <f t="shared" si="19"/>
        <v>10078.15251578587</v>
      </c>
      <c r="U401" s="11">
        <f t="shared" si="21"/>
        <v>8990.3233860712498</v>
      </c>
      <c r="V401" s="10">
        <v>71.84</v>
      </c>
      <c r="W401" s="10">
        <v>59.55</v>
      </c>
      <c r="X401" s="7">
        <v>1</v>
      </c>
    </row>
    <row r="402" spans="1:24" x14ac:dyDescent="0.25">
      <c r="A402" s="3">
        <v>2025</v>
      </c>
      <c r="B402" s="2" t="s">
        <v>406</v>
      </c>
      <c r="C402" s="6" t="s">
        <v>91</v>
      </c>
      <c r="D402" s="6" t="s">
        <v>92</v>
      </c>
      <c r="E402" s="6" t="s">
        <v>26</v>
      </c>
      <c r="F402" s="7" t="s">
        <v>464</v>
      </c>
      <c r="G402" s="7">
        <v>1004</v>
      </c>
      <c r="H402" s="6">
        <v>4</v>
      </c>
      <c r="I402" s="7">
        <v>10</v>
      </c>
      <c r="J402" s="6">
        <v>2</v>
      </c>
      <c r="K402" s="6">
        <v>15</v>
      </c>
      <c r="L402" s="7" t="s">
        <v>252</v>
      </c>
      <c r="M402" s="8" t="s">
        <v>254</v>
      </c>
      <c r="N402" s="8" t="s">
        <v>470</v>
      </c>
      <c r="O402" s="9" t="s">
        <v>258</v>
      </c>
      <c r="P402" s="10">
        <v>14.25</v>
      </c>
      <c r="Q402" s="10">
        <v>13.4</v>
      </c>
      <c r="R402" s="10">
        <v>43.5</v>
      </c>
      <c r="S402" s="15">
        <f t="shared" si="20"/>
        <v>14.023295454545455</v>
      </c>
      <c r="T402" s="10">
        <f t="shared" si="19"/>
        <v>11017.689430434677</v>
      </c>
      <c r="U402" s="11">
        <f t="shared" si="21"/>
        <v>9828.4473063645655</v>
      </c>
      <c r="V402" s="10">
        <v>71.38</v>
      </c>
      <c r="W402" s="10">
        <v>58.45</v>
      </c>
      <c r="X402" s="7">
        <v>2</v>
      </c>
    </row>
    <row r="403" spans="1:24" x14ac:dyDescent="0.25">
      <c r="A403" s="3">
        <v>2025</v>
      </c>
      <c r="B403" s="2" t="s">
        <v>406</v>
      </c>
      <c r="C403" s="6" t="s">
        <v>91</v>
      </c>
      <c r="D403" s="6" t="s">
        <v>92</v>
      </c>
      <c r="E403" s="6" t="s">
        <v>26</v>
      </c>
      <c r="F403" s="7" t="s">
        <v>465</v>
      </c>
      <c r="G403" s="7">
        <v>1005</v>
      </c>
      <c r="H403" s="6">
        <v>5</v>
      </c>
      <c r="I403" s="7">
        <v>10</v>
      </c>
      <c r="J403" s="6">
        <v>3</v>
      </c>
      <c r="K403" s="6">
        <v>13</v>
      </c>
      <c r="L403" s="7" t="s">
        <v>252</v>
      </c>
      <c r="M403" s="8" t="s">
        <v>472</v>
      </c>
      <c r="N403" s="9" t="s">
        <v>59</v>
      </c>
      <c r="O403" s="9" t="s">
        <v>257</v>
      </c>
      <c r="P403" s="10">
        <v>13.37</v>
      </c>
      <c r="Q403" s="10">
        <v>12.7</v>
      </c>
      <c r="R403" s="10">
        <v>44.2</v>
      </c>
      <c r="S403" s="15">
        <f t="shared" si="20"/>
        <v>13.263647727272726</v>
      </c>
      <c r="T403" s="10">
        <f t="shared" ref="T403:T404" si="22">((100000*S403*12%/2.205))/((4.66*16)/10.764)</f>
        <v>10420.856627278299</v>
      </c>
      <c r="U403" s="11">
        <f t="shared" si="21"/>
        <v>9296.0362419966987</v>
      </c>
      <c r="V403" s="10">
        <v>71.55</v>
      </c>
      <c r="W403" s="10">
        <v>59.25</v>
      </c>
      <c r="X403" s="7">
        <v>1</v>
      </c>
    </row>
    <row r="404" spans="1:24" x14ac:dyDescent="0.25">
      <c r="A404" s="3">
        <v>2025</v>
      </c>
      <c r="B404" s="2" t="s">
        <v>406</v>
      </c>
      <c r="C404" s="6" t="s">
        <v>91</v>
      </c>
      <c r="D404" s="6" t="s">
        <v>92</v>
      </c>
      <c r="E404" s="6" t="s">
        <v>26</v>
      </c>
      <c r="F404" s="7" t="s">
        <v>466</v>
      </c>
      <c r="G404" s="7">
        <v>1006</v>
      </c>
      <c r="H404" s="6">
        <v>6</v>
      </c>
      <c r="I404" s="7">
        <v>10</v>
      </c>
      <c r="J404" s="6">
        <v>3</v>
      </c>
      <c r="K404" s="6">
        <v>14</v>
      </c>
      <c r="L404" s="7" t="s">
        <v>252</v>
      </c>
      <c r="M404" s="8" t="s">
        <v>472</v>
      </c>
      <c r="N404" s="9" t="s">
        <v>61</v>
      </c>
      <c r="O404" s="9" t="s">
        <v>257</v>
      </c>
      <c r="P404" s="10">
        <v>14.77</v>
      </c>
      <c r="Q404" s="10">
        <v>12.3</v>
      </c>
      <c r="R404" s="10">
        <v>44.4</v>
      </c>
      <c r="S404" s="15">
        <f t="shared" ref="S404" si="23">P404*(1-Q404/100)/(1-0.12)</f>
        <v>14.719647727272726</v>
      </c>
      <c r="T404" s="10">
        <f t="shared" si="22"/>
        <v>11564.79286271668</v>
      </c>
      <c r="U404" s="11">
        <f t="shared" si="21"/>
        <v>10316.496755322642</v>
      </c>
      <c r="V404" s="10">
        <v>71.67</v>
      </c>
      <c r="W404" s="10">
        <v>60.66</v>
      </c>
      <c r="X404" s="7">
        <v>1</v>
      </c>
    </row>
    <row r="405" spans="1:24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8"/>
      <c r="M405" s="8"/>
      <c r="N405" s="6"/>
      <c r="O405" s="9"/>
      <c r="P405" s="6"/>
      <c r="Q405" s="6"/>
      <c r="R405" s="6"/>
      <c r="S405" s="6"/>
      <c r="T405" s="6"/>
      <c r="U405" s="6"/>
      <c r="V405" s="6"/>
    </row>
    <row r="406" spans="1:24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8"/>
      <c r="M406" s="8"/>
      <c r="N406" s="6"/>
      <c r="O406" s="9"/>
      <c r="P406" s="6"/>
      <c r="Q406" s="6"/>
      <c r="R406" s="6"/>
      <c r="S406" s="6"/>
      <c r="T406" s="6"/>
      <c r="U406" s="6"/>
      <c r="V406" s="6"/>
    </row>
    <row r="407" spans="1:24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8"/>
      <c r="M407" s="8"/>
      <c r="N407" s="6"/>
      <c r="O407" s="9"/>
      <c r="P407" s="6"/>
      <c r="Q407" s="6"/>
      <c r="R407" s="6"/>
      <c r="S407" s="6"/>
      <c r="T407" s="6"/>
      <c r="U407" s="6"/>
      <c r="V407" s="6"/>
    </row>
    <row r="408" spans="1:24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8"/>
      <c r="M408" s="8"/>
      <c r="N408" s="6"/>
      <c r="O408" s="9"/>
      <c r="P408" s="6"/>
      <c r="Q408" s="6"/>
      <c r="R408" s="6"/>
      <c r="S408" s="6"/>
      <c r="T408" s="6"/>
      <c r="U408" s="6"/>
      <c r="V408" s="6"/>
    </row>
    <row r="409" spans="1:24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8"/>
      <c r="M409" s="8"/>
      <c r="N409" s="6"/>
      <c r="O409" s="9"/>
      <c r="P409" s="6"/>
      <c r="Q409" s="6"/>
      <c r="R409" s="6"/>
      <c r="S409" s="6"/>
      <c r="T409" s="6"/>
      <c r="U409" s="6"/>
      <c r="V409" s="6"/>
    </row>
    <row r="410" spans="1:24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8"/>
      <c r="M410" s="8"/>
      <c r="N410" s="6"/>
      <c r="O410" s="9"/>
      <c r="P410" s="6"/>
      <c r="Q410" s="6"/>
      <c r="R410" s="6"/>
      <c r="S410" s="6"/>
      <c r="T410" s="6"/>
      <c r="U410" s="6"/>
      <c r="V410" s="6"/>
    </row>
    <row r="411" spans="1:24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8"/>
      <c r="M411" s="8"/>
      <c r="N411" s="6"/>
      <c r="O411" s="9"/>
      <c r="P411" s="6"/>
      <c r="Q411" s="6"/>
      <c r="R411" s="6"/>
      <c r="S411" s="6"/>
      <c r="T411" s="6"/>
      <c r="U411" s="6"/>
      <c r="V411" s="6"/>
    </row>
    <row r="412" spans="1:24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8"/>
      <c r="M412" s="8"/>
      <c r="N412" s="6"/>
      <c r="O412" s="9"/>
      <c r="P412" s="6"/>
      <c r="Q412" s="6"/>
      <c r="R412" s="6"/>
      <c r="S412" s="6"/>
      <c r="T412" s="6"/>
      <c r="U412" s="6"/>
      <c r="V412" s="6"/>
    </row>
    <row r="413" spans="1:24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8"/>
      <c r="M413" s="8"/>
      <c r="N413" s="6"/>
      <c r="O413" s="9"/>
      <c r="P413" s="6"/>
      <c r="Q413" s="6"/>
      <c r="R413" s="6"/>
      <c r="S413" s="6"/>
      <c r="T413" s="6"/>
      <c r="U413" s="6"/>
      <c r="V413" s="6"/>
    </row>
    <row r="414" spans="1:24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8"/>
      <c r="M414" s="8"/>
      <c r="N414" s="6"/>
      <c r="O414" s="9"/>
      <c r="P414" s="6"/>
      <c r="Q414" s="6"/>
      <c r="R414" s="6"/>
      <c r="S414" s="6"/>
      <c r="T414" s="6"/>
      <c r="U414" s="6"/>
      <c r="V414" s="6"/>
    </row>
    <row r="415" spans="1:24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8"/>
      <c r="M415" s="8"/>
      <c r="N415" s="6"/>
      <c r="O415" s="9"/>
      <c r="P415" s="6"/>
      <c r="Q415" s="6"/>
      <c r="R415" s="6"/>
      <c r="S415" s="6"/>
      <c r="T415" s="6"/>
      <c r="U415" s="6"/>
      <c r="V415" s="6"/>
    </row>
    <row r="416" spans="1:24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8"/>
      <c r="M416" s="8"/>
      <c r="N416" s="6"/>
      <c r="O416" s="9"/>
      <c r="P416" s="6"/>
      <c r="Q416" s="6"/>
      <c r="R416" s="6"/>
      <c r="S416" s="6"/>
      <c r="T416" s="6"/>
      <c r="U416" s="6"/>
      <c r="V416" s="6"/>
    </row>
    <row r="417" spans="1:22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8"/>
      <c r="M417" s="8"/>
      <c r="N417" s="6"/>
      <c r="O417" s="9"/>
      <c r="P417" s="6"/>
      <c r="Q417" s="6"/>
      <c r="R417" s="6"/>
      <c r="S417" s="6"/>
      <c r="T417" s="6"/>
      <c r="U417" s="6"/>
      <c r="V417" s="6"/>
    </row>
    <row r="418" spans="1:22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8"/>
      <c r="M418" s="8"/>
      <c r="N418" s="6"/>
      <c r="O418" s="9"/>
      <c r="P418" s="6"/>
      <c r="Q418" s="6"/>
      <c r="R418" s="6"/>
      <c r="S418" s="6"/>
      <c r="T418" s="6"/>
      <c r="U418" s="6"/>
      <c r="V418" s="6"/>
    </row>
    <row r="419" spans="1:22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8"/>
      <c r="M419" s="8"/>
      <c r="N419" s="6"/>
      <c r="O419" s="9"/>
      <c r="P419" s="6"/>
      <c r="Q419" s="6"/>
      <c r="R419" s="6"/>
      <c r="S419" s="6"/>
      <c r="T419" s="6"/>
      <c r="U419" s="6"/>
      <c r="V419" s="6"/>
    </row>
    <row r="420" spans="1:22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8"/>
      <c r="M420" s="8"/>
      <c r="N420" s="6"/>
      <c r="O420" s="9"/>
      <c r="P420" s="6"/>
      <c r="Q420" s="6"/>
      <c r="R420" s="6"/>
      <c r="S420" s="6"/>
      <c r="T420" s="6"/>
      <c r="U420" s="6"/>
      <c r="V420" s="6"/>
    </row>
    <row r="421" spans="1:22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8"/>
      <c r="M421" s="8"/>
      <c r="N421" s="6"/>
      <c r="O421" s="9"/>
      <c r="P421" s="6"/>
      <c r="Q421" s="6"/>
      <c r="R421" s="6"/>
      <c r="S421" s="6"/>
      <c r="T421" s="6"/>
      <c r="U421" s="6"/>
      <c r="V421" s="6"/>
    </row>
    <row r="422" spans="1:22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8"/>
      <c r="M422" s="8"/>
      <c r="N422" s="6"/>
      <c r="O422" s="9"/>
      <c r="P422" s="6"/>
      <c r="Q422" s="6"/>
      <c r="R422" s="6"/>
      <c r="S422" s="6"/>
      <c r="T422" s="6"/>
      <c r="U422" s="6"/>
      <c r="V422" s="6"/>
    </row>
    <row r="423" spans="1:22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8"/>
      <c r="M423" s="8"/>
      <c r="N423" s="6"/>
      <c r="O423" s="9"/>
      <c r="P423" s="6"/>
      <c r="Q423" s="6"/>
      <c r="R423" s="6"/>
      <c r="S423" s="6"/>
      <c r="T423" s="6"/>
      <c r="U423" s="6"/>
      <c r="V423" s="6"/>
    </row>
    <row r="424" spans="1:22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8"/>
      <c r="M424" s="8"/>
      <c r="N424" s="6"/>
      <c r="O424" s="9"/>
      <c r="P424" s="6"/>
      <c r="Q424" s="6"/>
      <c r="R424" s="6"/>
      <c r="S424" s="6"/>
      <c r="T424" s="6"/>
      <c r="U424" s="6"/>
      <c r="V424" s="6"/>
    </row>
    <row r="425" spans="1:22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8"/>
      <c r="M425" s="8"/>
      <c r="N425" s="6"/>
      <c r="O425" s="9"/>
      <c r="P425" s="6"/>
      <c r="Q425" s="6"/>
      <c r="R425" s="6"/>
      <c r="S425" s="6"/>
      <c r="T425" s="6"/>
      <c r="U425" s="6"/>
      <c r="V425" s="6"/>
    </row>
    <row r="426" spans="1:22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8"/>
      <c r="M426" s="8"/>
      <c r="N426" s="6"/>
      <c r="O426" s="9"/>
      <c r="P426" s="6"/>
      <c r="Q426" s="6"/>
      <c r="R426" s="6"/>
      <c r="S426" s="6"/>
      <c r="T426" s="6"/>
      <c r="U426" s="6"/>
      <c r="V426" s="6"/>
    </row>
    <row r="427" spans="1:22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8"/>
      <c r="M427" s="8"/>
      <c r="N427" s="6"/>
      <c r="O427" s="9"/>
      <c r="P427" s="6"/>
      <c r="Q427" s="6"/>
      <c r="R427" s="6"/>
      <c r="S427" s="6"/>
      <c r="T427" s="6"/>
      <c r="U427" s="6"/>
      <c r="V427" s="6"/>
    </row>
    <row r="428" spans="1:22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8"/>
      <c r="M428" s="8"/>
      <c r="N428" s="6"/>
      <c r="O428" s="9"/>
      <c r="P428" s="6"/>
      <c r="Q428" s="6"/>
      <c r="R428" s="6"/>
      <c r="S428" s="6"/>
      <c r="T428" s="6"/>
      <c r="U428" s="6"/>
      <c r="V428" s="6"/>
    </row>
    <row r="429" spans="1:22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8"/>
      <c r="M429" s="8"/>
      <c r="N429" s="6"/>
      <c r="O429" s="9"/>
      <c r="P429" s="6"/>
      <c r="Q429" s="6"/>
      <c r="R429" s="6"/>
      <c r="S429" s="6"/>
      <c r="T429" s="6"/>
      <c r="U429" s="6"/>
      <c r="V429" s="6"/>
    </row>
    <row r="430" spans="1:22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8"/>
      <c r="M430" s="8"/>
      <c r="N430" s="6"/>
      <c r="O430" s="9"/>
      <c r="P430" s="6"/>
      <c r="Q430" s="6"/>
      <c r="R430" s="6"/>
      <c r="S430" s="6"/>
      <c r="T430" s="6"/>
      <c r="U430" s="6"/>
      <c r="V430" s="6"/>
    </row>
    <row r="431" spans="1:22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8"/>
      <c r="M431" s="8"/>
      <c r="N431" s="6"/>
      <c r="O431" s="9"/>
      <c r="P431" s="6"/>
      <c r="Q431" s="6"/>
      <c r="R431" s="6"/>
      <c r="S431" s="6"/>
      <c r="T431" s="6"/>
      <c r="U431" s="6"/>
      <c r="V431" s="6"/>
    </row>
    <row r="432" spans="1:22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8"/>
      <c r="M432" s="8"/>
      <c r="N432" s="6"/>
      <c r="O432" s="9"/>
      <c r="P432" s="6"/>
      <c r="Q432" s="6"/>
      <c r="R432" s="6"/>
      <c r="S432" s="6"/>
      <c r="T432" s="6"/>
      <c r="U432" s="6"/>
      <c r="V432" s="6"/>
    </row>
    <row r="433" spans="1:22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8"/>
      <c r="M433" s="8"/>
      <c r="N433" s="6"/>
      <c r="O433" s="9"/>
      <c r="P433" s="6"/>
      <c r="Q433" s="6"/>
      <c r="R433" s="6"/>
      <c r="S433" s="6"/>
      <c r="T433" s="6"/>
      <c r="U433" s="6"/>
      <c r="V433" s="6"/>
    </row>
    <row r="434" spans="1:22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8"/>
      <c r="M434" s="8"/>
      <c r="N434" s="6"/>
      <c r="O434" s="9"/>
      <c r="P434" s="6"/>
      <c r="Q434" s="6"/>
      <c r="R434" s="6"/>
      <c r="S434" s="6"/>
      <c r="T434" s="6"/>
      <c r="U434" s="6"/>
      <c r="V434" s="6"/>
    </row>
    <row r="435" spans="1:22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8"/>
      <c r="M435" s="8"/>
      <c r="N435" s="6"/>
      <c r="O435" s="9"/>
      <c r="P435" s="6"/>
      <c r="Q435" s="6"/>
      <c r="R435" s="6"/>
      <c r="S435" s="6"/>
      <c r="T435" s="6"/>
      <c r="U435" s="6"/>
      <c r="V435" s="6"/>
    </row>
    <row r="436" spans="1:22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8"/>
      <c r="M436" s="8"/>
      <c r="N436" s="6"/>
      <c r="O436" s="9"/>
      <c r="P436" s="6"/>
      <c r="Q436" s="6"/>
      <c r="R436" s="6"/>
      <c r="S436" s="6"/>
      <c r="T436" s="6"/>
      <c r="U436" s="6"/>
      <c r="V436" s="6"/>
    </row>
    <row r="437" spans="1:22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8"/>
      <c r="M437" s="8"/>
      <c r="N437" s="6"/>
      <c r="O437" s="9"/>
      <c r="P437" s="6"/>
      <c r="Q437" s="6"/>
      <c r="R437" s="6"/>
      <c r="S437" s="6"/>
      <c r="T437" s="6"/>
      <c r="U437" s="6"/>
      <c r="V437" s="6"/>
    </row>
    <row r="438" spans="1:22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8"/>
      <c r="M438" s="8"/>
      <c r="N438" s="6"/>
      <c r="O438" s="9"/>
      <c r="P438" s="6"/>
      <c r="Q438" s="6"/>
      <c r="R438" s="6"/>
      <c r="S438" s="6"/>
      <c r="T438" s="6"/>
      <c r="U438" s="6"/>
      <c r="V438" s="6"/>
    </row>
    <row r="439" spans="1:22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8"/>
      <c r="M439" s="8"/>
      <c r="N439" s="6"/>
      <c r="O439" s="9"/>
      <c r="P439" s="6"/>
      <c r="Q439" s="6"/>
      <c r="R439" s="6"/>
      <c r="S439" s="6"/>
      <c r="T439" s="6"/>
      <c r="U439" s="6"/>
      <c r="V439" s="6"/>
    </row>
    <row r="440" spans="1:22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8"/>
      <c r="M440" s="8"/>
      <c r="N440" s="6"/>
      <c r="O440" s="9"/>
      <c r="P440" s="6"/>
      <c r="Q440" s="6"/>
      <c r="R440" s="6"/>
      <c r="S440" s="6"/>
      <c r="T440" s="6"/>
      <c r="U440" s="6"/>
      <c r="V440" s="6"/>
    </row>
    <row r="441" spans="1:22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8"/>
      <c r="M441" s="8"/>
      <c r="N441" s="6"/>
      <c r="O441" s="9"/>
      <c r="P441" s="6"/>
      <c r="Q441" s="6"/>
      <c r="R441" s="6"/>
      <c r="S441" s="6"/>
      <c r="T441" s="6"/>
      <c r="U441" s="6"/>
      <c r="V441" s="6"/>
    </row>
    <row r="442" spans="1:22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8"/>
      <c r="M442" s="8"/>
      <c r="N442" s="6"/>
      <c r="O442" s="9"/>
      <c r="P442" s="6"/>
      <c r="Q442" s="6"/>
      <c r="R442" s="6"/>
      <c r="S442" s="6"/>
      <c r="T442" s="6"/>
      <c r="U442" s="6"/>
      <c r="V442" s="6"/>
    </row>
    <row r="443" spans="1:22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8"/>
      <c r="M443" s="8"/>
      <c r="N443" s="6"/>
      <c r="O443" s="9"/>
      <c r="P443" s="6"/>
      <c r="Q443" s="6"/>
      <c r="R443" s="6"/>
      <c r="S443" s="6"/>
      <c r="T443" s="6"/>
      <c r="U443" s="6"/>
      <c r="V443" s="6"/>
    </row>
    <row r="444" spans="1:22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8"/>
      <c r="M444" s="8"/>
      <c r="N444" s="6"/>
      <c r="O444" s="9"/>
      <c r="P444" s="6"/>
      <c r="Q444" s="6"/>
      <c r="R444" s="6"/>
      <c r="S444" s="6"/>
      <c r="T444" s="6"/>
      <c r="U444" s="6"/>
      <c r="V444" s="6"/>
    </row>
    <row r="445" spans="1:22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8"/>
      <c r="M445" s="8"/>
      <c r="N445" s="6"/>
      <c r="O445" s="9"/>
      <c r="P445" s="6"/>
      <c r="Q445" s="6"/>
      <c r="R445" s="6"/>
      <c r="S445" s="6"/>
      <c r="T445" s="6"/>
      <c r="U445" s="6"/>
      <c r="V445" s="6"/>
    </row>
    <row r="446" spans="1:22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8"/>
      <c r="M446" s="8"/>
      <c r="N446" s="6"/>
      <c r="O446" s="9"/>
      <c r="P446" s="6"/>
      <c r="Q446" s="6"/>
      <c r="R446" s="6"/>
      <c r="S446" s="6"/>
      <c r="T446" s="6"/>
      <c r="U446" s="6"/>
      <c r="V446" s="6"/>
    </row>
    <row r="447" spans="1:22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8"/>
      <c r="M447" s="8"/>
      <c r="N447" s="6"/>
      <c r="O447" s="9"/>
      <c r="P447" s="6"/>
      <c r="Q447" s="6"/>
      <c r="R447" s="6"/>
      <c r="S447" s="6"/>
      <c r="T447" s="6"/>
      <c r="U447" s="6"/>
      <c r="V447" s="6"/>
    </row>
    <row r="448" spans="1:22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8"/>
      <c r="M448" s="8"/>
      <c r="N448" s="6"/>
      <c r="O448" s="9"/>
      <c r="P448" s="6"/>
      <c r="Q448" s="6"/>
      <c r="R448" s="6"/>
      <c r="S448" s="6"/>
      <c r="T448" s="6"/>
      <c r="U448" s="6"/>
      <c r="V448" s="6"/>
    </row>
    <row r="449" spans="1:22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8"/>
      <c r="M449" s="8"/>
      <c r="N449" s="6"/>
      <c r="O449" s="9"/>
      <c r="P449" s="6"/>
      <c r="Q449" s="6"/>
      <c r="R449" s="6"/>
      <c r="S449" s="6"/>
      <c r="T449" s="6"/>
      <c r="U449" s="6"/>
      <c r="V449" s="6"/>
    </row>
    <row r="450" spans="1:22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8"/>
      <c r="M450" s="8"/>
      <c r="N450" s="6"/>
      <c r="O450" s="9"/>
      <c r="P450" s="6"/>
      <c r="Q450" s="6"/>
      <c r="R450" s="6"/>
      <c r="S450" s="6"/>
      <c r="T450" s="6"/>
      <c r="U450" s="6"/>
      <c r="V450" s="6"/>
    </row>
    <row r="451" spans="1:22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8"/>
      <c r="M451" s="8"/>
      <c r="N451" s="6"/>
      <c r="O451" s="9"/>
      <c r="P451" s="6"/>
      <c r="Q451" s="6"/>
      <c r="R451" s="6"/>
      <c r="S451" s="6"/>
      <c r="T451" s="6"/>
      <c r="U451" s="6"/>
      <c r="V451" s="6"/>
    </row>
    <row r="452" spans="1:22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8"/>
      <c r="M452" s="8"/>
      <c r="N452" s="6"/>
      <c r="O452" s="9"/>
      <c r="P452" s="6"/>
      <c r="Q452" s="6"/>
      <c r="R452" s="6"/>
      <c r="S452" s="6"/>
      <c r="T452" s="6"/>
      <c r="U452" s="6"/>
      <c r="V452" s="6"/>
    </row>
    <row r="453" spans="1:22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8"/>
      <c r="M453" s="8"/>
      <c r="N453" s="6"/>
      <c r="O453" s="9"/>
      <c r="P453" s="6"/>
      <c r="Q453" s="6"/>
      <c r="R453" s="6"/>
      <c r="S453" s="6"/>
      <c r="T453" s="6"/>
      <c r="U453" s="6"/>
      <c r="V453" s="6"/>
    </row>
    <row r="454" spans="1:22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8"/>
      <c r="M454" s="8"/>
      <c r="N454" s="6"/>
      <c r="O454" s="9"/>
      <c r="P454" s="6"/>
      <c r="Q454" s="6"/>
      <c r="R454" s="6"/>
      <c r="S454" s="6"/>
      <c r="T454" s="6"/>
      <c r="U454" s="6"/>
      <c r="V454" s="6"/>
    </row>
    <row r="455" spans="1:22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8"/>
      <c r="M455" s="8"/>
      <c r="N455" s="6"/>
      <c r="O455" s="9"/>
      <c r="P455" s="6"/>
      <c r="Q455" s="6"/>
      <c r="R455" s="6"/>
      <c r="S455" s="6"/>
      <c r="T455" s="6"/>
      <c r="U455" s="6"/>
      <c r="V455" s="6"/>
    </row>
    <row r="456" spans="1:22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8"/>
      <c r="M456" s="8"/>
      <c r="N456" s="6"/>
      <c r="O456" s="9"/>
      <c r="P456" s="6"/>
      <c r="Q456" s="6"/>
      <c r="R456" s="6"/>
      <c r="S456" s="6"/>
      <c r="T456" s="6"/>
      <c r="U456" s="6"/>
      <c r="V456" s="6"/>
    </row>
    <row r="457" spans="1:22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8"/>
      <c r="M457" s="8"/>
      <c r="N457" s="6"/>
      <c r="O457" s="9"/>
      <c r="P457" s="6"/>
      <c r="Q457" s="6"/>
      <c r="R457" s="6"/>
      <c r="S457" s="6"/>
      <c r="T457" s="6"/>
      <c r="U457" s="6"/>
      <c r="V457" s="6"/>
    </row>
    <row r="458" spans="1:22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8"/>
      <c r="M458" s="8"/>
      <c r="N458" s="6"/>
      <c r="O458" s="9"/>
      <c r="P458" s="6"/>
      <c r="Q458" s="6"/>
      <c r="R458" s="6"/>
      <c r="S458" s="6"/>
      <c r="T458" s="6"/>
      <c r="U458" s="6"/>
      <c r="V458" s="6"/>
    </row>
    <row r="459" spans="1:22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8"/>
      <c r="M459" s="8"/>
      <c r="N459" s="6"/>
      <c r="O459" s="9"/>
      <c r="P459" s="6"/>
      <c r="Q459" s="6"/>
      <c r="R459" s="6"/>
      <c r="S459" s="6"/>
      <c r="T459" s="6"/>
      <c r="U459" s="6"/>
      <c r="V459" s="6"/>
    </row>
    <row r="460" spans="1:22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8"/>
      <c r="M460" s="8"/>
      <c r="N460" s="6"/>
      <c r="O460" s="9"/>
      <c r="P460" s="6"/>
      <c r="Q460" s="6"/>
      <c r="R460" s="6"/>
      <c r="S460" s="6"/>
      <c r="T460" s="6"/>
      <c r="U460" s="6"/>
      <c r="V460" s="6"/>
    </row>
    <row r="461" spans="1:22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8"/>
      <c r="M461" s="8"/>
      <c r="N461" s="6"/>
      <c r="O461" s="9"/>
      <c r="P461" s="6"/>
      <c r="Q461" s="6"/>
      <c r="R461" s="6"/>
      <c r="S461" s="6"/>
      <c r="T461" s="6"/>
      <c r="U461" s="6"/>
      <c r="V461" s="6"/>
    </row>
    <row r="462" spans="1:22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8"/>
      <c r="M462" s="8"/>
      <c r="N462" s="6"/>
      <c r="O462" s="9"/>
      <c r="P462" s="6"/>
      <c r="Q462" s="6"/>
      <c r="R462" s="6"/>
      <c r="S462" s="6"/>
      <c r="T462" s="6"/>
      <c r="U462" s="6"/>
      <c r="V462" s="6"/>
    </row>
    <row r="463" spans="1:22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8"/>
      <c r="M463" s="8"/>
      <c r="N463" s="6"/>
      <c r="O463" s="9"/>
      <c r="P463" s="6"/>
      <c r="Q463" s="6"/>
      <c r="R463" s="6"/>
      <c r="S463" s="6"/>
      <c r="T463" s="6"/>
      <c r="U463" s="6"/>
      <c r="V463" s="6"/>
    </row>
    <row r="464" spans="1:22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8"/>
      <c r="M464" s="8"/>
      <c r="N464" s="6"/>
      <c r="O464" s="9"/>
      <c r="P464" s="6"/>
      <c r="Q464" s="6"/>
      <c r="R464" s="6"/>
      <c r="S464" s="6"/>
      <c r="T464" s="6"/>
      <c r="U464" s="6"/>
      <c r="V464" s="6"/>
    </row>
    <row r="465" spans="1:22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8"/>
      <c r="M465" s="8"/>
      <c r="N465" s="6"/>
      <c r="O465" s="9"/>
      <c r="P465" s="6"/>
      <c r="Q465" s="6"/>
      <c r="R465" s="6"/>
      <c r="S465" s="6"/>
      <c r="T465" s="6"/>
      <c r="U465" s="6"/>
      <c r="V465" s="6"/>
    </row>
    <row r="466" spans="1:22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8"/>
      <c r="M466" s="8"/>
      <c r="N466" s="6"/>
      <c r="O466" s="9"/>
      <c r="P466" s="6"/>
      <c r="Q466" s="6"/>
      <c r="R466" s="6"/>
      <c r="S466" s="6"/>
      <c r="T466" s="6"/>
      <c r="U466" s="6"/>
      <c r="V466" s="6"/>
    </row>
    <row r="467" spans="1:22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8"/>
      <c r="M467" s="8"/>
      <c r="N467" s="6"/>
      <c r="O467" s="9"/>
      <c r="P467" s="6"/>
      <c r="Q467" s="6"/>
      <c r="R467" s="6"/>
      <c r="S467" s="6"/>
      <c r="T467" s="6"/>
      <c r="U467" s="6"/>
      <c r="V467" s="6"/>
    </row>
    <row r="468" spans="1:22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8"/>
      <c r="M468" s="8"/>
      <c r="N468" s="6"/>
      <c r="O468" s="9"/>
      <c r="P468" s="6"/>
      <c r="Q468" s="6"/>
      <c r="R468" s="6"/>
      <c r="S468" s="6"/>
      <c r="T468" s="6"/>
      <c r="U468" s="6"/>
      <c r="V468" s="6"/>
    </row>
    <row r="469" spans="1:22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8"/>
      <c r="M469" s="8"/>
      <c r="N469" s="6"/>
      <c r="O469" s="9"/>
      <c r="P469" s="6"/>
      <c r="Q469" s="6"/>
      <c r="R469" s="6"/>
      <c r="S469" s="6"/>
      <c r="T469" s="6"/>
      <c r="U469" s="6"/>
      <c r="V469" s="6"/>
    </row>
    <row r="470" spans="1:22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8"/>
      <c r="M470" s="8"/>
      <c r="N470" s="6"/>
      <c r="O470" s="9"/>
      <c r="P470" s="6"/>
      <c r="Q470" s="6"/>
      <c r="R470" s="6"/>
      <c r="S470" s="6"/>
      <c r="T470" s="6"/>
      <c r="U470" s="6"/>
      <c r="V470" s="6"/>
    </row>
    <row r="471" spans="1:22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8"/>
      <c r="M471" s="8"/>
      <c r="N471" s="6"/>
      <c r="O471" s="9"/>
      <c r="P471" s="6"/>
      <c r="Q471" s="6"/>
      <c r="R471" s="6"/>
      <c r="S471" s="6"/>
      <c r="T471" s="6"/>
      <c r="U471" s="6"/>
      <c r="V471" s="6"/>
    </row>
    <row r="472" spans="1:22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8"/>
      <c r="M472" s="8"/>
      <c r="N472" s="6"/>
      <c r="O472" s="9"/>
      <c r="P472" s="6"/>
      <c r="Q472" s="6"/>
      <c r="R472" s="6"/>
      <c r="S472" s="6"/>
      <c r="T472" s="6"/>
      <c r="U472" s="6"/>
      <c r="V472" s="6"/>
    </row>
    <row r="473" spans="1:22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8"/>
      <c r="M473" s="8"/>
      <c r="N473" s="6"/>
      <c r="O473" s="9"/>
      <c r="P473" s="6"/>
      <c r="Q473" s="6"/>
      <c r="R473" s="6"/>
      <c r="S473" s="6"/>
      <c r="T473" s="6"/>
      <c r="U473" s="6"/>
      <c r="V473" s="6"/>
    </row>
    <row r="474" spans="1:22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8"/>
      <c r="M474" s="8"/>
      <c r="N474" s="6"/>
      <c r="O474" s="9"/>
      <c r="P474" s="6"/>
      <c r="Q474" s="6"/>
      <c r="R474" s="6"/>
      <c r="S474" s="6"/>
      <c r="T474" s="6"/>
      <c r="U474" s="6"/>
      <c r="V474" s="6"/>
    </row>
    <row r="475" spans="1:22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8"/>
      <c r="M475" s="8"/>
      <c r="N475" s="6"/>
      <c r="O475" s="9"/>
      <c r="P475" s="6"/>
      <c r="Q475" s="6"/>
      <c r="R475" s="6"/>
      <c r="S475" s="6"/>
      <c r="T475" s="6"/>
      <c r="U475" s="6"/>
      <c r="V475" s="6"/>
    </row>
    <row r="476" spans="1:22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8"/>
      <c r="M476" s="8"/>
      <c r="N476" s="6"/>
      <c r="O476" s="9"/>
      <c r="P476" s="6"/>
      <c r="Q476" s="6"/>
      <c r="R476" s="6"/>
      <c r="S476" s="6"/>
      <c r="T476" s="6"/>
      <c r="U476" s="6"/>
      <c r="V476" s="6"/>
    </row>
    <row r="477" spans="1:22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8"/>
      <c r="M477" s="8"/>
      <c r="N477" s="6"/>
      <c r="O477" s="9"/>
      <c r="P477" s="6"/>
      <c r="Q477" s="6"/>
      <c r="R477" s="6"/>
      <c r="S477" s="6"/>
      <c r="T477" s="6"/>
      <c r="U477" s="6"/>
      <c r="V477" s="6"/>
    </row>
    <row r="478" spans="1:22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8"/>
      <c r="M478" s="8"/>
      <c r="N478" s="6"/>
      <c r="O478" s="9"/>
      <c r="P478" s="6"/>
      <c r="Q478" s="6"/>
      <c r="R478" s="6"/>
      <c r="S478" s="6"/>
      <c r="T478" s="6"/>
      <c r="U478" s="6"/>
      <c r="V478" s="6"/>
    </row>
    <row r="479" spans="1:22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8"/>
      <c r="M479" s="8"/>
      <c r="N479" s="6"/>
      <c r="O479" s="9"/>
      <c r="P479" s="6"/>
      <c r="Q479" s="6"/>
      <c r="R479" s="6"/>
      <c r="S479" s="6"/>
      <c r="T479" s="6"/>
      <c r="U479" s="6"/>
      <c r="V479" s="6"/>
    </row>
    <row r="480" spans="1:22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8"/>
      <c r="M480" s="8"/>
      <c r="N480" s="6"/>
      <c r="O480" s="9"/>
      <c r="P480" s="6"/>
      <c r="Q480" s="6"/>
      <c r="R480" s="6"/>
      <c r="S480" s="6"/>
      <c r="T480" s="6"/>
      <c r="U480" s="6"/>
      <c r="V480" s="6"/>
    </row>
    <row r="481" spans="1:22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8"/>
      <c r="M481" s="8"/>
      <c r="N481" s="6"/>
      <c r="O481" s="9"/>
      <c r="P481" s="6"/>
      <c r="Q481" s="6"/>
      <c r="R481" s="6"/>
      <c r="S481" s="6"/>
      <c r="T481" s="6"/>
      <c r="U481" s="6"/>
      <c r="V481" s="6"/>
    </row>
    <row r="482" spans="1:22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8"/>
      <c r="M482" s="8"/>
      <c r="N482" s="6"/>
      <c r="O482" s="9"/>
      <c r="P482" s="6"/>
      <c r="Q482" s="6"/>
      <c r="R482" s="6"/>
      <c r="S482" s="6"/>
      <c r="T482" s="6"/>
      <c r="U482" s="6"/>
      <c r="V482" s="6"/>
    </row>
    <row r="483" spans="1:22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8"/>
      <c r="M483" s="8"/>
      <c r="N483" s="6"/>
      <c r="O483" s="9"/>
      <c r="P483" s="6"/>
      <c r="Q483" s="6"/>
      <c r="R483" s="6"/>
      <c r="S483" s="6"/>
      <c r="T483" s="6"/>
      <c r="U483" s="6"/>
      <c r="V483" s="6"/>
    </row>
  </sheetData>
  <autoFilter ref="A1:X404" xr:uid="{23849C3F-791D-4DD0-83AD-DB8372CB8CEE}"/>
  <sortState xmlns:xlrd2="http://schemas.microsoft.com/office/spreadsheetml/2017/richdata2" ref="A2:V483">
    <sortCondition ref="F1:F483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B3F6-F2F2-43FA-B383-9CA99EE1DED7}">
  <sheetPr filterMode="1"/>
  <dimension ref="A1:X201"/>
  <sheetViews>
    <sheetView workbookViewId="0">
      <pane ySplit="1" topLeftCell="A2" activePane="bottomLeft" state="frozen"/>
      <selection pane="bottomLeft" activeCell="X136" sqref="X136"/>
    </sheetView>
  </sheetViews>
  <sheetFormatPr defaultColWidth="8.85546875" defaultRowHeight="15" x14ac:dyDescent="0.25"/>
  <cols>
    <col min="1" max="1" width="5" bestFit="1" customWidth="1"/>
    <col min="2" max="2" width="13.140625" bestFit="1" customWidth="1"/>
    <col min="3" max="3" width="10.28515625" bestFit="1" customWidth="1"/>
    <col min="4" max="5" width="5.28515625" bestFit="1" customWidth="1"/>
    <col min="6" max="6" width="11.85546875" bestFit="1" customWidth="1"/>
    <col min="7" max="7" width="4.42578125" bestFit="1" customWidth="1"/>
    <col min="8" max="8" width="3.7109375" bestFit="1" customWidth="1"/>
    <col min="9" max="9" width="4.28515625" bestFit="1" customWidth="1"/>
    <col min="10" max="10" width="3.7109375" bestFit="1" customWidth="1"/>
    <col min="11" max="11" width="3.140625" bestFit="1" customWidth="1"/>
    <col min="12" max="12" width="6.140625" bestFit="1" customWidth="1"/>
    <col min="13" max="13" width="11.140625" bestFit="1" customWidth="1"/>
    <col min="14" max="14" width="10" bestFit="1" customWidth="1"/>
    <col min="15" max="15" width="13.28515625" bestFit="1" customWidth="1"/>
    <col min="16" max="16" width="7" bestFit="1" customWidth="1"/>
    <col min="17" max="17" width="6.140625" bestFit="1" customWidth="1"/>
    <col min="18" max="18" width="5" bestFit="1" customWidth="1"/>
    <col min="19" max="19" width="9.85546875" bestFit="1" customWidth="1"/>
    <col min="20" max="20" width="8" bestFit="1" customWidth="1"/>
    <col min="21" max="21" width="7.42578125" bestFit="1" customWidth="1"/>
    <col min="22" max="23" width="6" bestFit="1" customWidth="1"/>
    <col min="24" max="24" width="5.7109375" bestFit="1" customWidth="1"/>
  </cols>
  <sheetData>
    <row r="1" spans="1:24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56</v>
      </c>
      <c r="N1" s="12" t="s">
        <v>12</v>
      </c>
      <c r="O1" s="12" t="s">
        <v>256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</row>
    <row r="2" spans="1:24" hidden="1" x14ac:dyDescent="0.25">
      <c r="A2" s="7">
        <v>2024</v>
      </c>
      <c r="B2" s="6" t="s">
        <v>125</v>
      </c>
      <c r="C2" s="6" t="s">
        <v>126</v>
      </c>
      <c r="D2" s="6" t="s">
        <v>127</v>
      </c>
      <c r="E2" s="8" t="s">
        <v>128</v>
      </c>
      <c r="F2" s="6" t="s">
        <v>129</v>
      </c>
      <c r="G2" s="6">
        <v>101</v>
      </c>
      <c r="H2" s="6">
        <v>1</v>
      </c>
      <c r="I2" s="6">
        <v>1</v>
      </c>
      <c r="J2" s="6">
        <v>1</v>
      </c>
      <c r="K2" s="6">
        <v>1</v>
      </c>
      <c r="L2" t="s">
        <v>252</v>
      </c>
      <c r="M2" s="8" t="s">
        <v>469</v>
      </c>
      <c r="N2" s="8" t="s">
        <v>469</v>
      </c>
      <c r="O2" s="8" t="s">
        <v>469</v>
      </c>
      <c r="P2" s="6"/>
      <c r="Q2" s="6"/>
      <c r="R2" s="6"/>
      <c r="S2" s="13"/>
      <c r="T2" s="11"/>
      <c r="U2" s="11"/>
      <c r="V2" s="10">
        <v>71.069999999999993</v>
      </c>
      <c r="W2" s="10">
        <v>46.55</v>
      </c>
      <c r="X2" s="7"/>
    </row>
    <row r="3" spans="1:24" x14ac:dyDescent="0.25">
      <c r="A3" s="7">
        <v>2024</v>
      </c>
      <c r="B3" s="6" t="s">
        <v>27</v>
      </c>
      <c r="C3" s="6" t="s">
        <v>28</v>
      </c>
      <c r="D3" s="6" t="s">
        <v>29</v>
      </c>
      <c r="E3" s="6" t="s">
        <v>24</v>
      </c>
      <c r="F3" s="6" t="s">
        <v>30</v>
      </c>
      <c r="G3" s="6">
        <v>101</v>
      </c>
      <c r="H3" s="6">
        <v>1</v>
      </c>
      <c r="I3" s="6">
        <v>1</v>
      </c>
      <c r="J3" s="6">
        <v>1</v>
      </c>
      <c r="K3" s="6">
        <v>2</v>
      </c>
      <c r="L3" t="s">
        <v>23</v>
      </c>
      <c r="M3" s="8" t="s">
        <v>31</v>
      </c>
      <c r="N3" s="8" t="s">
        <v>57</v>
      </c>
      <c r="O3" s="9" t="s">
        <v>259</v>
      </c>
      <c r="P3" s="6">
        <v>11.05</v>
      </c>
      <c r="Q3" s="6">
        <v>17.5</v>
      </c>
      <c r="R3" s="6">
        <v>42.9</v>
      </c>
      <c r="S3" s="6">
        <v>10.36</v>
      </c>
      <c r="T3" s="6">
        <v>6782.55</v>
      </c>
      <c r="U3" s="11">
        <f t="shared" ref="U3:U34" si="0">T3/1.121</f>
        <v>6050.446030330063</v>
      </c>
      <c r="V3" s="6">
        <v>72.41</v>
      </c>
      <c r="W3" s="6">
        <v>53.27</v>
      </c>
      <c r="X3" s="7">
        <v>0</v>
      </c>
    </row>
    <row r="4" spans="1:24" hidden="1" x14ac:dyDescent="0.25">
      <c r="A4" s="7">
        <v>2024</v>
      </c>
      <c r="B4" s="6" t="s">
        <v>90</v>
      </c>
      <c r="C4" s="6" t="s">
        <v>91</v>
      </c>
      <c r="D4" s="6" t="s">
        <v>92</v>
      </c>
      <c r="E4" s="6" t="s">
        <v>26</v>
      </c>
      <c r="F4" s="6" t="s">
        <v>93</v>
      </c>
      <c r="G4" s="6">
        <v>101</v>
      </c>
      <c r="H4" s="6">
        <v>1</v>
      </c>
      <c r="I4" s="6">
        <v>1</v>
      </c>
      <c r="J4" s="6">
        <v>1</v>
      </c>
      <c r="K4" s="6">
        <v>5</v>
      </c>
      <c r="L4" t="s">
        <v>252</v>
      </c>
      <c r="M4" s="8" t="s">
        <v>31</v>
      </c>
      <c r="N4" s="8" t="s">
        <v>62</v>
      </c>
      <c r="O4" s="9" t="s">
        <v>259</v>
      </c>
      <c r="P4" s="7">
        <v>7.53</v>
      </c>
      <c r="Q4" s="7">
        <v>13.2</v>
      </c>
      <c r="R4" s="7">
        <v>43.8</v>
      </c>
      <c r="S4" s="13">
        <f xml:space="preserve"> P4 * (1 - Q4 / 100) / (1 - 0.12)</f>
        <v>7.4273181818181815</v>
      </c>
      <c r="T4" s="11">
        <f>((10000 * S4 * 12% / 2.205)) / ((4.66 * 16) / 10.764)</f>
        <v>583.54247254891015</v>
      </c>
      <c r="U4" s="11">
        <f t="shared" si="0"/>
        <v>520.55528327289039</v>
      </c>
      <c r="V4" s="6">
        <v>75.59</v>
      </c>
      <c r="W4" s="6">
        <v>65.599999999999994</v>
      </c>
      <c r="X4" s="7"/>
    </row>
    <row r="5" spans="1:24" hidden="1" x14ac:dyDescent="0.25">
      <c r="A5" s="7">
        <v>2024</v>
      </c>
      <c r="B5" s="6" t="s">
        <v>63</v>
      </c>
      <c r="C5" s="6" t="s">
        <v>64</v>
      </c>
      <c r="D5" s="6" t="s">
        <v>65</v>
      </c>
      <c r="E5" s="6" t="s">
        <v>25</v>
      </c>
      <c r="F5" s="6" t="s">
        <v>66</v>
      </c>
      <c r="G5" s="6">
        <v>101</v>
      </c>
      <c r="H5" s="6">
        <v>1</v>
      </c>
      <c r="I5" s="6">
        <v>1</v>
      </c>
      <c r="J5" s="6">
        <v>1</v>
      </c>
      <c r="K5" s="6">
        <v>8</v>
      </c>
      <c r="L5" t="s">
        <v>252</v>
      </c>
      <c r="M5" s="8" t="s">
        <v>33</v>
      </c>
      <c r="N5" s="8" t="s">
        <v>58</v>
      </c>
      <c r="O5" s="9" t="s">
        <v>467</v>
      </c>
      <c r="P5" s="6">
        <v>8.08</v>
      </c>
      <c r="Q5" s="6">
        <v>14.5</v>
      </c>
      <c r="R5" s="6">
        <v>34.5</v>
      </c>
      <c r="S5" s="6">
        <v>7.85</v>
      </c>
      <c r="T5" s="6">
        <v>5139.8900000000003</v>
      </c>
      <c r="U5" s="11">
        <f t="shared" si="0"/>
        <v>4585.0936663693137</v>
      </c>
      <c r="V5" s="6">
        <v>65.69</v>
      </c>
      <c r="W5" s="6">
        <v>39.65</v>
      </c>
      <c r="X5" s="7">
        <v>1</v>
      </c>
    </row>
    <row r="6" spans="1:24" hidden="1" x14ac:dyDescent="0.25">
      <c r="A6" s="7">
        <v>2024</v>
      </c>
      <c r="B6" s="6" t="s">
        <v>63</v>
      </c>
      <c r="C6" s="6" t="s">
        <v>64</v>
      </c>
      <c r="D6" s="6" t="s">
        <v>65</v>
      </c>
      <c r="E6" s="6" t="s">
        <v>25</v>
      </c>
      <c r="F6" s="6" t="s">
        <v>67</v>
      </c>
      <c r="G6" s="6">
        <v>102</v>
      </c>
      <c r="H6" s="6">
        <v>2</v>
      </c>
      <c r="I6" s="6">
        <v>1</v>
      </c>
      <c r="J6" s="6">
        <v>1</v>
      </c>
      <c r="K6" s="6">
        <v>4</v>
      </c>
      <c r="L6" t="s">
        <v>252</v>
      </c>
      <c r="M6" s="8" t="s">
        <v>31</v>
      </c>
      <c r="N6" s="8" t="s">
        <v>60</v>
      </c>
      <c r="O6" s="9" t="s">
        <v>259</v>
      </c>
      <c r="P6" s="6">
        <v>6.85</v>
      </c>
      <c r="Q6" s="6">
        <v>15.1</v>
      </c>
      <c r="R6" s="6">
        <v>35.299999999999997</v>
      </c>
      <c r="S6" s="6">
        <v>6.61</v>
      </c>
      <c r="T6" s="6">
        <v>4326.88</v>
      </c>
      <c r="U6" s="11">
        <f t="shared" si="0"/>
        <v>3859.8394290811775</v>
      </c>
      <c r="V6" s="6">
        <v>67.900000000000006</v>
      </c>
      <c r="W6" s="6">
        <v>42.42</v>
      </c>
      <c r="X6" s="7">
        <v>1</v>
      </c>
    </row>
    <row r="7" spans="1:24" hidden="1" x14ac:dyDescent="0.25">
      <c r="A7" s="7">
        <v>2024</v>
      </c>
      <c r="B7" s="6" t="s">
        <v>90</v>
      </c>
      <c r="C7" s="6" t="s">
        <v>91</v>
      </c>
      <c r="D7" s="6" t="s">
        <v>92</v>
      </c>
      <c r="E7" s="6" t="s">
        <v>26</v>
      </c>
      <c r="F7" s="6" t="s">
        <v>94</v>
      </c>
      <c r="G7" s="6">
        <v>102</v>
      </c>
      <c r="H7" s="6">
        <v>2</v>
      </c>
      <c r="I7" s="6">
        <v>1</v>
      </c>
      <c r="J7" s="6">
        <v>1</v>
      </c>
      <c r="K7" s="6">
        <v>2</v>
      </c>
      <c r="L7" t="s">
        <v>252</v>
      </c>
      <c r="M7" s="8" t="s">
        <v>31</v>
      </c>
      <c r="N7" s="8" t="s">
        <v>57</v>
      </c>
      <c r="O7" s="9" t="s">
        <v>259</v>
      </c>
      <c r="P7" s="7">
        <v>9.8800000000000008</v>
      </c>
      <c r="Q7" s="7">
        <v>15.5</v>
      </c>
      <c r="R7" s="7">
        <v>43.2</v>
      </c>
      <c r="S7" s="13">
        <f xml:space="preserve"> P7 * (1 - Q7 / 100) / (1 - 0.12)</f>
        <v>9.4870454545454557</v>
      </c>
      <c r="T7" s="11">
        <f>((10000 * S7 * 12% / 2.205)) / ((4.66 * 16) / 10.764)</f>
        <v>745.36916639461094</v>
      </c>
      <c r="U7" s="11">
        <f t="shared" si="0"/>
        <v>664.9145106107145</v>
      </c>
      <c r="V7" s="6">
        <v>75.92</v>
      </c>
      <c r="W7" s="6">
        <v>65.849999999999994</v>
      </c>
      <c r="X7" s="7"/>
    </row>
    <row r="8" spans="1:24" hidden="1" x14ac:dyDescent="0.25">
      <c r="A8" s="7">
        <v>2024</v>
      </c>
      <c r="B8" s="6" t="s">
        <v>125</v>
      </c>
      <c r="C8" s="6" t="s">
        <v>126</v>
      </c>
      <c r="D8" s="6" t="s">
        <v>127</v>
      </c>
      <c r="E8" s="8" t="s">
        <v>128</v>
      </c>
      <c r="F8" s="6" t="s">
        <v>130</v>
      </c>
      <c r="G8" s="6">
        <v>102</v>
      </c>
      <c r="H8" s="6">
        <v>2</v>
      </c>
      <c r="I8" s="6">
        <v>1</v>
      </c>
      <c r="J8" s="6">
        <v>1</v>
      </c>
      <c r="K8" s="6">
        <v>2</v>
      </c>
      <c r="L8" t="s">
        <v>252</v>
      </c>
      <c r="M8" s="8" t="s">
        <v>31</v>
      </c>
      <c r="N8" s="8" t="s">
        <v>57</v>
      </c>
      <c r="O8" s="9" t="s">
        <v>259</v>
      </c>
      <c r="P8" s="6">
        <v>10.44</v>
      </c>
      <c r="Q8" s="6">
        <v>11.8</v>
      </c>
      <c r="R8" s="6">
        <v>44</v>
      </c>
      <c r="S8" s="13">
        <f xml:space="preserve"> P8 * (1 - Q8 / 100) / (1 - 0.12)</f>
        <v>10.463727272727272</v>
      </c>
      <c r="T8" s="11">
        <f>((10000 * S8 * 12% / 2.205)) / ((4.66 * 16) / 10.764)</f>
        <v>822.10417479516184</v>
      </c>
      <c r="U8" s="11">
        <f t="shared" si="0"/>
        <v>733.36679285919877</v>
      </c>
      <c r="V8" s="10">
        <v>72.16</v>
      </c>
      <c r="W8" s="10">
        <v>45.9</v>
      </c>
      <c r="X8" s="7"/>
    </row>
    <row r="9" spans="1:24" x14ac:dyDescent="0.25">
      <c r="A9" s="7">
        <v>2024</v>
      </c>
      <c r="B9" s="6" t="s">
        <v>27</v>
      </c>
      <c r="C9" s="6" t="s">
        <v>28</v>
      </c>
      <c r="D9" s="6" t="s">
        <v>29</v>
      </c>
      <c r="E9" s="6" t="s">
        <v>24</v>
      </c>
      <c r="F9" s="6" t="s">
        <v>32</v>
      </c>
      <c r="G9" s="6">
        <v>102</v>
      </c>
      <c r="H9" s="6">
        <v>2</v>
      </c>
      <c r="I9" s="6">
        <v>1</v>
      </c>
      <c r="J9" s="6">
        <v>1</v>
      </c>
      <c r="K9" s="6">
        <v>8</v>
      </c>
      <c r="L9" t="s">
        <v>23</v>
      </c>
      <c r="M9" s="8" t="s">
        <v>33</v>
      </c>
      <c r="N9" s="8" t="s">
        <v>58</v>
      </c>
      <c r="O9" s="9" t="s">
        <v>467</v>
      </c>
      <c r="P9" s="6">
        <v>11.64</v>
      </c>
      <c r="Q9" s="6">
        <v>17</v>
      </c>
      <c r="R9" s="6">
        <v>43</v>
      </c>
      <c r="S9" s="6">
        <v>10.98</v>
      </c>
      <c r="T9" s="6">
        <v>7187.99</v>
      </c>
      <c r="U9" s="11">
        <f t="shared" si="0"/>
        <v>6412.1231043710968</v>
      </c>
      <c r="V9" s="6">
        <v>72.34</v>
      </c>
      <c r="W9" s="6">
        <v>53.64</v>
      </c>
      <c r="X9" s="7">
        <v>0</v>
      </c>
    </row>
    <row r="10" spans="1:24" hidden="1" x14ac:dyDescent="0.25">
      <c r="A10" s="7">
        <v>2024</v>
      </c>
      <c r="B10" s="6" t="s">
        <v>63</v>
      </c>
      <c r="C10" s="6" t="s">
        <v>64</v>
      </c>
      <c r="D10" s="6" t="s">
        <v>65</v>
      </c>
      <c r="E10" s="6" t="s">
        <v>25</v>
      </c>
      <c r="F10" s="6" t="s">
        <v>68</v>
      </c>
      <c r="G10" s="6">
        <v>103</v>
      </c>
      <c r="H10" s="6">
        <v>3</v>
      </c>
      <c r="I10" s="6">
        <v>1</v>
      </c>
      <c r="J10" s="6">
        <v>1</v>
      </c>
      <c r="K10" s="6">
        <v>1</v>
      </c>
      <c r="L10" t="s">
        <v>252</v>
      </c>
      <c r="M10" s="8" t="s">
        <v>469</v>
      </c>
      <c r="N10" s="8" t="s">
        <v>469</v>
      </c>
      <c r="O10" s="8" t="s">
        <v>469</v>
      </c>
      <c r="P10" s="6">
        <v>8.58</v>
      </c>
      <c r="Q10" s="6">
        <v>14.4</v>
      </c>
      <c r="R10" s="6">
        <v>37.700000000000003</v>
      </c>
      <c r="S10" s="6">
        <v>8.35</v>
      </c>
      <c r="T10" s="6">
        <v>5464.34</v>
      </c>
      <c r="U10" s="11">
        <f t="shared" si="0"/>
        <v>4874.5227475468337</v>
      </c>
      <c r="V10" s="6">
        <v>69.77</v>
      </c>
      <c r="W10" s="6">
        <v>40.130000000000003</v>
      </c>
      <c r="X10" s="7">
        <v>1</v>
      </c>
    </row>
    <row r="11" spans="1:24" x14ac:dyDescent="0.25">
      <c r="A11" s="7">
        <v>2024</v>
      </c>
      <c r="B11" s="6" t="s">
        <v>27</v>
      </c>
      <c r="C11" s="6" t="s">
        <v>28</v>
      </c>
      <c r="D11" s="6" t="s">
        <v>29</v>
      </c>
      <c r="E11" s="6" t="s">
        <v>24</v>
      </c>
      <c r="F11" s="6" t="s">
        <v>34</v>
      </c>
      <c r="G11" s="6">
        <v>103</v>
      </c>
      <c r="H11" s="6">
        <v>3</v>
      </c>
      <c r="I11" s="6">
        <v>1</v>
      </c>
      <c r="J11" s="6">
        <v>2</v>
      </c>
      <c r="K11" s="6">
        <v>6</v>
      </c>
      <c r="L11" t="s">
        <v>23</v>
      </c>
      <c r="M11" s="8" t="s">
        <v>31</v>
      </c>
      <c r="N11" s="8" t="s">
        <v>59</v>
      </c>
      <c r="O11" s="9" t="s">
        <v>259</v>
      </c>
      <c r="P11" s="6">
        <v>11.05</v>
      </c>
      <c r="Q11" s="6">
        <v>16.399999999999999</v>
      </c>
      <c r="R11" s="6">
        <v>43.4</v>
      </c>
      <c r="S11" s="6">
        <v>10.5</v>
      </c>
      <c r="T11" s="6">
        <v>6872.98</v>
      </c>
      <c r="U11" s="11">
        <f t="shared" si="0"/>
        <v>6131.1150758251561</v>
      </c>
      <c r="V11" s="6">
        <v>72.260000000000005</v>
      </c>
      <c r="W11" s="6">
        <v>52.07</v>
      </c>
      <c r="X11" s="7">
        <v>0</v>
      </c>
    </row>
    <row r="12" spans="1:24" hidden="1" x14ac:dyDescent="0.25">
      <c r="A12" s="7">
        <v>2024</v>
      </c>
      <c r="B12" s="6" t="s">
        <v>90</v>
      </c>
      <c r="C12" s="6" t="s">
        <v>91</v>
      </c>
      <c r="D12" s="6" t="s">
        <v>92</v>
      </c>
      <c r="E12" s="6" t="s">
        <v>26</v>
      </c>
      <c r="F12" s="6" t="s">
        <v>95</v>
      </c>
      <c r="G12" s="6">
        <v>103</v>
      </c>
      <c r="H12" s="6">
        <v>3</v>
      </c>
      <c r="I12" s="6">
        <v>1</v>
      </c>
      <c r="J12" s="6">
        <v>2</v>
      </c>
      <c r="K12" s="6">
        <v>5</v>
      </c>
      <c r="L12" t="s">
        <v>252</v>
      </c>
      <c r="M12" s="8" t="s">
        <v>31</v>
      </c>
      <c r="N12" s="8" t="s">
        <v>62</v>
      </c>
      <c r="O12" s="9" t="s">
        <v>259</v>
      </c>
      <c r="P12" s="7">
        <v>9.2799999999999994</v>
      </c>
      <c r="Q12" s="7">
        <v>15.7</v>
      </c>
      <c r="R12" s="7">
        <v>43</v>
      </c>
      <c r="S12" s="13">
        <f xml:space="preserve"> P12 * (1 - Q12 / 100) / (1 - 0.12)</f>
        <v>8.8898181818181801</v>
      </c>
      <c r="T12" s="11">
        <f>((10000 * S12 * 12% / 2.205)) / ((4.66 * 16) / 10.764)</f>
        <v>698.4467819121403</v>
      </c>
      <c r="U12" s="11">
        <f t="shared" si="0"/>
        <v>623.05689733464794</v>
      </c>
      <c r="V12" s="6">
        <v>74.42</v>
      </c>
      <c r="W12" s="6">
        <v>62.57</v>
      </c>
      <c r="X12" s="7"/>
    </row>
    <row r="13" spans="1:24" hidden="1" x14ac:dyDescent="0.25">
      <c r="A13" s="7">
        <v>2024</v>
      </c>
      <c r="B13" s="6" t="s">
        <v>125</v>
      </c>
      <c r="C13" s="6" t="s">
        <v>126</v>
      </c>
      <c r="D13" s="6" t="s">
        <v>127</v>
      </c>
      <c r="E13" s="8" t="s">
        <v>128</v>
      </c>
      <c r="F13" s="6" t="s">
        <v>131</v>
      </c>
      <c r="G13" s="6">
        <v>103</v>
      </c>
      <c r="H13" s="6">
        <v>3</v>
      </c>
      <c r="I13" s="6">
        <v>1</v>
      </c>
      <c r="J13" s="6">
        <v>1</v>
      </c>
      <c r="K13" s="6">
        <v>3</v>
      </c>
      <c r="L13" t="s">
        <v>252</v>
      </c>
      <c r="M13" s="8" t="s">
        <v>31</v>
      </c>
      <c r="N13" s="8" t="s">
        <v>58</v>
      </c>
      <c r="O13" s="9" t="s">
        <v>259</v>
      </c>
      <c r="P13" s="6">
        <v>8.6999999999999993</v>
      </c>
      <c r="Q13" s="6">
        <v>12</v>
      </c>
      <c r="R13" s="6">
        <v>44</v>
      </c>
      <c r="S13" s="13">
        <f xml:space="preserve"> P13 * (1 - Q13 / 100) / (1 - 0.12)</f>
        <v>8.6999999999999993</v>
      </c>
      <c r="T13" s="11">
        <f>((10000 * S13 * 12% / 2.205)) / ((4.66 * 16) / 10.764)</f>
        <v>683.53332749408776</v>
      </c>
      <c r="U13" s="11">
        <f t="shared" si="0"/>
        <v>609.75319134173753</v>
      </c>
      <c r="V13" s="10">
        <v>72.45</v>
      </c>
      <c r="W13" s="10">
        <v>51.12</v>
      </c>
      <c r="X13" s="7"/>
    </row>
    <row r="14" spans="1:24" hidden="1" x14ac:dyDescent="0.25">
      <c r="A14" s="7">
        <v>2024</v>
      </c>
      <c r="B14" s="6" t="s">
        <v>63</v>
      </c>
      <c r="C14" s="6" t="s">
        <v>64</v>
      </c>
      <c r="D14" s="6" t="s">
        <v>65</v>
      </c>
      <c r="E14" s="6" t="s">
        <v>25</v>
      </c>
      <c r="F14" s="6" t="s">
        <v>69</v>
      </c>
      <c r="G14" s="6">
        <v>104</v>
      </c>
      <c r="H14" s="6">
        <v>4</v>
      </c>
      <c r="I14" s="6">
        <v>1</v>
      </c>
      <c r="J14" s="6">
        <v>2</v>
      </c>
      <c r="K14" s="6">
        <v>1</v>
      </c>
      <c r="L14" t="s">
        <v>252</v>
      </c>
      <c r="M14" s="8" t="s">
        <v>469</v>
      </c>
      <c r="N14" s="8" t="s">
        <v>469</v>
      </c>
      <c r="O14" s="8" t="s">
        <v>469</v>
      </c>
      <c r="P14" s="6">
        <v>8.74</v>
      </c>
      <c r="Q14" s="6">
        <v>14.5</v>
      </c>
      <c r="R14" s="6">
        <v>38.4</v>
      </c>
      <c r="S14" s="6">
        <v>8.49</v>
      </c>
      <c r="T14" s="6">
        <v>5559.73</v>
      </c>
      <c r="U14" s="11">
        <f t="shared" si="0"/>
        <v>4959.6164139161456</v>
      </c>
      <c r="V14" s="6">
        <v>70.47</v>
      </c>
      <c r="W14" s="6">
        <v>42.41</v>
      </c>
      <c r="X14" s="7">
        <v>1</v>
      </c>
    </row>
    <row r="15" spans="1:24" x14ac:dyDescent="0.25">
      <c r="A15" s="7">
        <v>2024</v>
      </c>
      <c r="B15" s="6" t="s">
        <v>27</v>
      </c>
      <c r="C15" s="6" t="s">
        <v>28</v>
      </c>
      <c r="D15" s="6" t="s">
        <v>29</v>
      </c>
      <c r="E15" s="6" t="s">
        <v>24</v>
      </c>
      <c r="F15" s="6" t="s">
        <v>35</v>
      </c>
      <c r="G15" s="6">
        <v>104</v>
      </c>
      <c r="H15" s="6">
        <v>4</v>
      </c>
      <c r="I15" s="6">
        <v>1</v>
      </c>
      <c r="J15" s="6">
        <v>3</v>
      </c>
      <c r="K15" s="6">
        <v>4</v>
      </c>
      <c r="L15" t="s">
        <v>23</v>
      </c>
      <c r="M15" s="8" t="s">
        <v>31</v>
      </c>
      <c r="N15" s="8" t="s">
        <v>60</v>
      </c>
      <c r="O15" s="9" t="s">
        <v>259</v>
      </c>
      <c r="P15" s="6">
        <v>10.34</v>
      </c>
      <c r="Q15" s="6">
        <v>17.2</v>
      </c>
      <c r="R15" s="6">
        <v>42.9</v>
      </c>
      <c r="S15" s="6">
        <v>9.73</v>
      </c>
      <c r="T15" s="6">
        <v>6369.82</v>
      </c>
      <c r="U15" s="11">
        <f t="shared" si="0"/>
        <v>5682.2658340767166</v>
      </c>
      <c r="V15" s="6">
        <v>71.7</v>
      </c>
      <c r="W15" s="6">
        <v>50.8</v>
      </c>
      <c r="X15" s="7">
        <v>1</v>
      </c>
    </row>
    <row r="16" spans="1:24" hidden="1" x14ac:dyDescent="0.25">
      <c r="A16" s="7">
        <v>2024</v>
      </c>
      <c r="B16" s="6" t="s">
        <v>90</v>
      </c>
      <c r="C16" s="6" t="s">
        <v>91</v>
      </c>
      <c r="D16" s="6" t="s">
        <v>92</v>
      </c>
      <c r="E16" s="6" t="s">
        <v>26</v>
      </c>
      <c r="F16" s="6" t="s">
        <v>96</v>
      </c>
      <c r="G16" s="6">
        <v>104</v>
      </c>
      <c r="H16" s="6">
        <v>4</v>
      </c>
      <c r="I16" s="6">
        <v>1</v>
      </c>
      <c r="J16" s="6">
        <v>2</v>
      </c>
      <c r="K16" s="6">
        <v>2</v>
      </c>
      <c r="L16" t="s">
        <v>252</v>
      </c>
      <c r="M16" s="8" t="s">
        <v>31</v>
      </c>
      <c r="N16" s="8" t="s">
        <v>57</v>
      </c>
      <c r="O16" s="9" t="s">
        <v>259</v>
      </c>
      <c r="P16" s="7">
        <v>10.17</v>
      </c>
      <c r="Q16" s="7">
        <v>16.399999999999999</v>
      </c>
      <c r="R16" s="7">
        <v>42.5</v>
      </c>
      <c r="S16" s="13">
        <f xml:space="preserve"> P16 * (1 - Q16 / 100) / (1 - 0.12)</f>
        <v>9.661500000000002</v>
      </c>
      <c r="T16" s="11">
        <f>((10000 * S16 * 12% / 2.205)) / ((4.66 * 16) / 10.764)</f>
        <v>759.07554523955514</v>
      </c>
      <c r="U16" s="11">
        <f t="shared" si="0"/>
        <v>677.14143197105727</v>
      </c>
      <c r="V16" s="6">
        <v>74.540000000000006</v>
      </c>
      <c r="W16" s="6">
        <v>62.33</v>
      </c>
      <c r="X16" s="7"/>
    </row>
    <row r="17" spans="1:24" hidden="1" x14ac:dyDescent="0.25">
      <c r="A17" s="7">
        <v>2024</v>
      </c>
      <c r="B17" s="6" t="s">
        <v>125</v>
      </c>
      <c r="C17" s="6" t="s">
        <v>126</v>
      </c>
      <c r="D17" s="6" t="s">
        <v>127</v>
      </c>
      <c r="E17" s="8" t="s">
        <v>128</v>
      </c>
      <c r="F17" s="6" t="s">
        <v>132</v>
      </c>
      <c r="G17" s="6">
        <v>104</v>
      </c>
      <c r="H17" s="6">
        <v>4</v>
      </c>
      <c r="I17" s="6">
        <v>1</v>
      </c>
      <c r="J17" s="6">
        <v>1</v>
      </c>
      <c r="K17" s="6">
        <v>4</v>
      </c>
      <c r="L17" t="s">
        <v>252</v>
      </c>
      <c r="M17" s="8" t="s">
        <v>31</v>
      </c>
      <c r="N17" s="8" t="s">
        <v>60</v>
      </c>
      <c r="O17" s="9" t="s">
        <v>259</v>
      </c>
      <c r="P17" s="6">
        <v>10.48</v>
      </c>
      <c r="Q17" s="6">
        <v>11.7</v>
      </c>
      <c r="R17" s="6">
        <v>44.1</v>
      </c>
      <c r="S17" s="13">
        <f xml:space="preserve"> P17 * (1 - Q17 / 100) / (1 - 0.12)</f>
        <v>10.515727272727274</v>
      </c>
      <c r="T17" s="11">
        <f>((10000 * S17 * 12% / 2.205)) / ((4.66 * 16) / 10.764)</f>
        <v>826.18966135029905</v>
      </c>
      <c r="U17" s="11">
        <f t="shared" si="0"/>
        <v>737.01129469250588</v>
      </c>
      <c r="V17" s="10">
        <v>73.03</v>
      </c>
      <c r="W17" s="10">
        <v>53.13</v>
      </c>
      <c r="X17" s="7"/>
    </row>
    <row r="18" spans="1:24" hidden="1" x14ac:dyDescent="0.25">
      <c r="A18" s="7">
        <v>2024</v>
      </c>
      <c r="B18" s="6" t="s">
        <v>63</v>
      </c>
      <c r="C18" s="6" t="s">
        <v>64</v>
      </c>
      <c r="D18" s="6" t="s">
        <v>65</v>
      </c>
      <c r="E18" s="6" t="s">
        <v>25</v>
      </c>
      <c r="F18" s="6" t="s">
        <v>70</v>
      </c>
      <c r="G18" s="6">
        <v>105</v>
      </c>
      <c r="H18" s="6">
        <v>5</v>
      </c>
      <c r="I18" s="6">
        <v>1</v>
      </c>
      <c r="J18" s="6">
        <v>2</v>
      </c>
      <c r="K18" s="6">
        <v>7</v>
      </c>
      <c r="L18" t="s">
        <v>252</v>
      </c>
      <c r="M18" s="8" t="s">
        <v>31</v>
      </c>
      <c r="N18" s="8" t="s">
        <v>61</v>
      </c>
      <c r="O18" s="9" t="s">
        <v>259</v>
      </c>
      <c r="P18" s="6">
        <v>9.1999999999999993</v>
      </c>
      <c r="Q18" s="6">
        <v>14.4</v>
      </c>
      <c r="R18" s="6">
        <v>37.5</v>
      </c>
      <c r="S18" s="6">
        <v>8.9499999999999993</v>
      </c>
      <c r="T18" s="6">
        <v>5859.2</v>
      </c>
      <c r="U18" s="11">
        <f t="shared" si="0"/>
        <v>5226.7618198037462</v>
      </c>
      <c r="V18" s="6">
        <v>71.209999999999994</v>
      </c>
      <c r="W18" s="6">
        <v>47.28</v>
      </c>
      <c r="X18" s="7">
        <v>1</v>
      </c>
    </row>
    <row r="19" spans="1:24" hidden="1" x14ac:dyDescent="0.25">
      <c r="A19" s="7">
        <v>2024</v>
      </c>
      <c r="B19" s="6" t="s">
        <v>90</v>
      </c>
      <c r="C19" s="6" t="s">
        <v>91</v>
      </c>
      <c r="D19" s="6" t="s">
        <v>92</v>
      </c>
      <c r="E19" s="6" t="s">
        <v>26</v>
      </c>
      <c r="F19" s="6" t="s">
        <v>97</v>
      </c>
      <c r="G19" s="6">
        <v>105</v>
      </c>
      <c r="H19" s="6">
        <v>5</v>
      </c>
      <c r="I19" s="6">
        <v>1</v>
      </c>
      <c r="J19" s="6">
        <v>3</v>
      </c>
      <c r="K19" s="6">
        <v>6</v>
      </c>
      <c r="L19" t="s">
        <v>252</v>
      </c>
      <c r="M19" s="8" t="s">
        <v>31</v>
      </c>
      <c r="N19" s="8" t="s">
        <v>59</v>
      </c>
      <c r="O19" s="9" t="s">
        <v>259</v>
      </c>
      <c r="P19" s="7">
        <v>8.66</v>
      </c>
      <c r="Q19" s="7">
        <v>17.2</v>
      </c>
      <c r="R19" s="7">
        <v>41.9</v>
      </c>
      <c r="S19" s="13">
        <f xml:space="preserve"> P19 * (1 - Q19 / 100) / (1 - 0.12)</f>
        <v>8.1482727272727278</v>
      </c>
      <c r="T19" s="11">
        <f>((10000 * S19 * 12% / 2.205)) / ((4.66 * 16) / 10.764)</f>
        <v>640.18574374736238</v>
      </c>
      <c r="U19" s="11">
        <f t="shared" si="0"/>
        <v>571.08451716981483</v>
      </c>
      <c r="V19" s="6">
        <v>73.56</v>
      </c>
      <c r="W19" s="6">
        <v>55.52</v>
      </c>
      <c r="X19" s="7"/>
    </row>
    <row r="20" spans="1:24" hidden="1" x14ac:dyDescent="0.25">
      <c r="A20" s="7">
        <v>2024</v>
      </c>
      <c r="B20" s="6" t="s">
        <v>125</v>
      </c>
      <c r="C20" s="6" t="s">
        <v>126</v>
      </c>
      <c r="D20" s="6" t="s">
        <v>127</v>
      </c>
      <c r="E20" s="8" t="s">
        <v>128</v>
      </c>
      <c r="F20" s="6" t="s">
        <v>133</v>
      </c>
      <c r="G20" s="6">
        <v>105</v>
      </c>
      <c r="H20" s="6">
        <v>5</v>
      </c>
      <c r="I20" s="6">
        <v>1</v>
      </c>
      <c r="J20" s="6">
        <v>1</v>
      </c>
      <c r="K20" s="6">
        <v>5</v>
      </c>
      <c r="L20" t="s">
        <v>252</v>
      </c>
      <c r="M20" s="8" t="s">
        <v>31</v>
      </c>
      <c r="N20" s="8" t="s">
        <v>62</v>
      </c>
      <c r="O20" s="9" t="s">
        <v>259</v>
      </c>
      <c r="P20" s="6">
        <v>11.51</v>
      </c>
      <c r="Q20" s="6">
        <v>11.2</v>
      </c>
      <c r="R20" s="6">
        <v>44.2</v>
      </c>
      <c r="S20" s="13">
        <f xml:space="preserve"> P20 * (1 - Q20 / 100) / (1 - 0.12)</f>
        <v>11.614636363636363</v>
      </c>
      <c r="T20" s="11">
        <f>((10000 * S20 * 12% / 2.205)) / ((4.66 * 16) / 10.764)</f>
        <v>912.5277058931257</v>
      </c>
      <c r="U20" s="11">
        <f t="shared" si="0"/>
        <v>814.03006770127183</v>
      </c>
      <c r="V20" s="10">
        <v>72.86</v>
      </c>
      <c r="W20" s="10">
        <v>49.08</v>
      </c>
      <c r="X20" s="7"/>
    </row>
    <row r="21" spans="1:24" hidden="1" x14ac:dyDescent="0.25">
      <c r="A21" s="7">
        <v>2024</v>
      </c>
      <c r="B21" s="6" t="s">
        <v>63</v>
      </c>
      <c r="C21" s="6" t="s">
        <v>64</v>
      </c>
      <c r="D21" s="6" t="s">
        <v>65</v>
      </c>
      <c r="E21" s="6" t="s">
        <v>25</v>
      </c>
      <c r="F21" s="6" t="s">
        <v>71</v>
      </c>
      <c r="G21" s="6">
        <v>106</v>
      </c>
      <c r="H21" s="6">
        <v>6</v>
      </c>
      <c r="I21" s="6">
        <v>1</v>
      </c>
      <c r="J21" s="6">
        <v>2</v>
      </c>
      <c r="K21" s="6">
        <v>2</v>
      </c>
      <c r="L21" t="s">
        <v>252</v>
      </c>
      <c r="M21" s="8" t="s">
        <v>31</v>
      </c>
      <c r="N21" s="8" t="s">
        <v>57</v>
      </c>
      <c r="O21" s="9" t="s">
        <v>259</v>
      </c>
      <c r="P21" s="6">
        <v>10.15</v>
      </c>
      <c r="Q21" s="6">
        <v>14.4</v>
      </c>
      <c r="R21" s="6">
        <v>40.200000000000003</v>
      </c>
      <c r="S21" s="6">
        <v>9.8699999999999992</v>
      </c>
      <c r="T21" s="6">
        <v>6464.22</v>
      </c>
      <c r="U21" s="11">
        <f t="shared" si="0"/>
        <v>5766.4763603925066</v>
      </c>
      <c r="V21" s="6">
        <v>71.59</v>
      </c>
      <c r="W21" s="6">
        <v>49.56</v>
      </c>
      <c r="X21" s="7">
        <v>1</v>
      </c>
    </row>
    <row r="22" spans="1:24" hidden="1" x14ac:dyDescent="0.25">
      <c r="A22" s="7">
        <v>2024</v>
      </c>
      <c r="B22" s="6" t="s">
        <v>125</v>
      </c>
      <c r="C22" s="6" t="s">
        <v>126</v>
      </c>
      <c r="D22" s="6" t="s">
        <v>127</v>
      </c>
      <c r="E22" s="8" t="s">
        <v>128</v>
      </c>
      <c r="F22" s="6" t="s">
        <v>134</v>
      </c>
      <c r="G22" s="6">
        <v>106</v>
      </c>
      <c r="H22" s="6">
        <v>6</v>
      </c>
      <c r="I22" s="6">
        <v>1</v>
      </c>
      <c r="J22" s="6">
        <v>1</v>
      </c>
      <c r="K22" s="6">
        <v>6</v>
      </c>
      <c r="L22" t="s">
        <v>252</v>
      </c>
      <c r="M22" s="8" t="s">
        <v>31</v>
      </c>
      <c r="N22" s="8" t="s">
        <v>59</v>
      </c>
      <c r="O22" s="9" t="s">
        <v>259</v>
      </c>
      <c r="P22" s="6">
        <v>11.39</v>
      </c>
      <c r="Q22" s="6">
        <v>11.4</v>
      </c>
      <c r="R22" s="6">
        <v>44.6</v>
      </c>
      <c r="S22" s="13">
        <f xml:space="preserve"> P22 * (1 - Q22 / 100) / (1 - 0.12)</f>
        <v>11.467659090909091</v>
      </c>
      <c r="T22" s="11">
        <f>((10000 * S22 * 12% / 2.205)) / ((4.66 * 16) / 10.764)</f>
        <v>900.9801352847029</v>
      </c>
      <c r="U22" s="11">
        <f t="shared" si="0"/>
        <v>803.72893424148344</v>
      </c>
      <c r="V22" s="10">
        <v>72.42</v>
      </c>
      <c r="W22" s="10">
        <v>51.03</v>
      </c>
      <c r="X22" s="7"/>
    </row>
    <row r="23" spans="1:24" hidden="1" x14ac:dyDescent="0.25">
      <c r="A23" s="7">
        <v>2024</v>
      </c>
      <c r="B23" s="6" t="s">
        <v>90</v>
      </c>
      <c r="C23" s="6" t="s">
        <v>91</v>
      </c>
      <c r="D23" s="6" t="s">
        <v>92</v>
      </c>
      <c r="E23" s="6" t="s">
        <v>26</v>
      </c>
      <c r="F23" s="6" t="s">
        <v>98</v>
      </c>
      <c r="G23" s="6">
        <v>106</v>
      </c>
      <c r="H23" s="6">
        <v>6</v>
      </c>
      <c r="I23" s="6">
        <v>1</v>
      </c>
      <c r="J23" s="6">
        <v>3</v>
      </c>
      <c r="K23" s="6">
        <v>8</v>
      </c>
      <c r="L23" t="s">
        <v>252</v>
      </c>
      <c r="M23" s="8" t="s">
        <v>33</v>
      </c>
      <c r="N23" s="8" t="s">
        <v>58</v>
      </c>
      <c r="O23" s="9" t="s">
        <v>467</v>
      </c>
      <c r="P23" s="7">
        <v>10.45</v>
      </c>
      <c r="Q23" s="7">
        <v>14.6</v>
      </c>
      <c r="R23" s="7">
        <v>43.7</v>
      </c>
      <c r="S23" s="13">
        <f xml:space="preserve"> P23 * (1 - Q23 / 100) / (1 - 0.12)</f>
        <v>10.141249999999999</v>
      </c>
      <c r="T23" s="11">
        <f>((10000 * S23 * 12% / 2.205)) / ((4.66 * 16) / 10.764)</f>
        <v>796.76808706315148</v>
      </c>
      <c r="U23" s="11">
        <f t="shared" si="0"/>
        <v>710.76546571199958</v>
      </c>
      <c r="V23" s="6">
        <v>74.05</v>
      </c>
      <c r="W23" s="6">
        <v>59.25</v>
      </c>
      <c r="X23" s="7"/>
    </row>
    <row r="24" spans="1:24" hidden="1" x14ac:dyDescent="0.25">
      <c r="A24" s="7">
        <v>2024</v>
      </c>
      <c r="B24" s="6" t="s">
        <v>90</v>
      </c>
      <c r="C24" s="6" t="s">
        <v>91</v>
      </c>
      <c r="D24" s="6" t="s">
        <v>92</v>
      </c>
      <c r="E24" s="6" t="s">
        <v>26</v>
      </c>
      <c r="F24" s="6" t="s">
        <v>99</v>
      </c>
      <c r="G24" s="6">
        <v>107</v>
      </c>
      <c r="H24" s="6">
        <v>7</v>
      </c>
      <c r="I24" s="6">
        <v>1</v>
      </c>
      <c r="J24" s="6">
        <v>4</v>
      </c>
      <c r="K24" s="6">
        <v>7</v>
      </c>
      <c r="L24" t="s">
        <v>252</v>
      </c>
      <c r="M24" s="8" t="s">
        <v>31</v>
      </c>
      <c r="N24" s="8" t="s">
        <v>61</v>
      </c>
      <c r="O24" s="9" t="s">
        <v>259</v>
      </c>
      <c r="P24" s="7">
        <v>7.75</v>
      </c>
      <c r="Q24" s="7">
        <v>13.7</v>
      </c>
      <c r="R24" s="7">
        <v>43.8</v>
      </c>
      <c r="S24" s="13">
        <f xml:space="preserve"> P24 * (1 - Q24 / 100) / (1 - 0.12)</f>
        <v>7.6002840909090912</v>
      </c>
      <c r="T24" s="11">
        <f>((10000 * S24 * 12% / 2.205)) / ((4.66 * 16) / 10.764)</f>
        <v>597.13189362752507</v>
      </c>
      <c r="U24" s="11">
        <f t="shared" si="0"/>
        <v>532.67787121099468</v>
      </c>
      <c r="V24" s="6">
        <v>72.86</v>
      </c>
      <c r="W24" s="6">
        <v>51.34</v>
      </c>
      <c r="X24" s="7"/>
    </row>
    <row r="25" spans="1:24" hidden="1" x14ac:dyDescent="0.25">
      <c r="A25" s="7">
        <v>2024</v>
      </c>
      <c r="B25" s="6" t="s">
        <v>125</v>
      </c>
      <c r="C25" s="6" t="s">
        <v>126</v>
      </c>
      <c r="D25" s="6" t="s">
        <v>127</v>
      </c>
      <c r="E25" s="8" t="s">
        <v>128</v>
      </c>
      <c r="F25" s="6" t="s">
        <v>135</v>
      </c>
      <c r="G25" s="6">
        <v>107</v>
      </c>
      <c r="H25" s="6">
        <v>7</v>
      </c>
      <c r="I25" s="6">
        <v>1</v>
      </c>
      <c r="J25" s="6">
        <v>1</v>
      </c>
      <c r="K25" s="6">
        <v>7</v>
      </c>
      <c r="L25" t="s">
        <v>252</v>
      </c>
      <c r="M25" s="8" t="s">
        <v>31</v>
      </c>
      <c r="N25" s="8" t="s">
        <v>61</v>
      </c>
      <c r="O25" s="9" t="s">
        <v>259</v>
      </c>
      <c r="P25" s="6">
        <v>8.4700000000000006</v>
      </c>
      <c r="Q25" s="6">
        <v>12.5</v>
      </c>
      <c r="R25" s="6">
        <v>45.3</v>
      </c>
      <c r="S25" s="13">
        <f xml:space="preserve"> P25 * (1 - Q25 / 100) / (1 - 0.12)</f>
        <v>8.421875</v>
      </c>
      <c r="T25" s="11">
        <f>((10000 * S25 * 12% / 2.205)) / ((4.66 * 16) / 10.764)</f>
        <v>661.68186695278962</v>
      </c>
      <c r="U25" s="11">
        <f t="shared" si="0"/>
        <v>590.26036302657417</v>
      </c>
      <c r="V25" s="10">
        <v>70.319999999999993</v>
      </c>
      <c r="W25" s="10">
        <v>48.79</v>
      </c>
      <c r="X25" s="7"/>
    </row>
    <row r="26" spans="1:24" hidden="1" x14ac:dyDescent="0.25">
      <c r="A26" s="7">
        <v>2024</v>
      </c>
      <c r="B26" s="6" t="s">
        <v>63</v>
      </c>
      <c r="C26" s="6" t="s">
        <v>64</v>
      </c>
      <c r="D26" s="6" t="s">
        <v>65</v>
      </c>
      <c r="E26" s="6" t="s">
        <v>25</v>
      </c>
      <c r="F26" s="6" t="s">
        <v>72</v>
      </c>
      <c r="G26" s="6">
        <v>107</v>
      </c>
      <c r="H26" s="6">
        <v>7</v>
      </c>
      <c r="I26" s="6">
        <v>1</v>
      </c>
      <c r="J26" s="6">
        <v>3</v>
      </c>
      <c r="K26" s="6">
        <v>8</v>
      </c>
      <c r="L26" t="s">
        <v>252</v>
      </c>
      <c r="M26" s="8" t="s">
        <v>33</v>
      </c>
      <c r="N26" s="8" t="s">
        <v>58</v>
      </c>
      <c r="O26" s="9" t="s">
        <v>467</v>
      </c>
      <c r="P26" s="6">
        <v>10.25</v>
      </c>
      <c r="Q26" s="6">
        <v>14.6</v>
      </c>
      <c r="R26" s="6">
        <v>41</v>
      </c>
      <c r="S26" s="6">
        <v>9.9499999999999993</v>
      </c>
      <c r="T26" s="6">
        <v>6512.66</v>
      </c>
      <c r="U26" s="11">
        <f t="shared" si="0"/>
        <v>5809.6877787689564</v>
      </c>
      <c r="V26" s="6">
        <v>71.14</v>
      </c>
      <c r="W26" s="6">
        <v>48.06</v>
      </c>
      <c r="X26" s="7">
        <v>0</v>
      </c>
    </row>
    <row r="27" spans="1:24" hidden="1" x14ac:dyDescent="0.25">
      <c r="A27" s="7">
        <v>2024</v>
      </c>
      <c r="B27" s="6" t="s">
        <v>125</v>
      </c>
      <c r="C27" s="6" t="s">
        <v>126</v>
      </c>
      <c r="D27" s="6" t="s">
        <v>127</v>
      </c>
      <c r="E27" s="8" t="s">
        <v>128</v>
      </c>
      <c r="F27" s="6" t="s">
        <v>136</v>
      </c>
      <c r="G27" s="6">
        <v>108</v>
      </c>
      <c r="H27" s="6">
        <v>1</v>
      </c>
      <c r="I27" s="6">
        <v>2</v>
      </c>
      <c r="J27" s="6">
        <v>1</v>
      </c>
      <c r="K27" s="6">
        <v>9</v>
      </c>
      <c r="L27" t="s">
        <v>252</v>
      </c>
      <c r="M27" s="8" t="s">
        <v>137</v>
      </c>
      <c r="N27" s="8" t="s">
        <v>57</v>
      </c>
      <c r="O27" s="9" t="s">
        <v>468</v>
      </c>
      <c r="P27" s="6">
        <v>10.029999999999999</v>
      </c>
      <c r="Q27" s="6">
        <v>11.9</v>
      </c>
      <c r="R27" s="6">
        <v>43.5</v>
      </c>
      <c r="S27" s="13">
        <f xml:space="preserve"> P27 * (1 - Q27 / 100) / (1 - 0.12)</f>
        <v>10.041397727272727</v>
      </c>
      <c r="T27" s="11">
        <f>((10000 * S27 * 12% / 2.205)) / ((4.66 * 16) / 10.764)</f>
        <v>788.92298864532154</v>
      </c>
      <c r="U27" s="11">
        <f t="shared" si="0"/>
        <v>703.76716203864544</v>
      </c>
      <c r="V27" s="10">
        <v>72.2</v>
      </c>
      <c r="W27" s="10">
        <v>46.61</v>
      </c>
      <c r="X27" s="7"/>
    </row>
    <row r="28" spans="1:24" hidden="1" x14ac:dyDescent="0.25">
      <c r="A28" s="7">
        <v>2024</v>
      </c>
      <c r="B28" s="6" t="s">
        <v>63</v>
      </c>
      <c r="C28" s="6" t="s">
        <v>64</v>
      </c>
      <c r="D28" s="6" t="s">
        <v>65</v>
      </c>
      <c r="E28" s="6" t="s">
        <v>25</v>
      </c>
      <c r="F28" s="6" t="s">
        <v>73</v>
      </c>
      <c r="G28" s="6">
        <v>108</v>
      </c>
      <c r="H28" s="6">
        <v>8</v>
      </c>
      <c r="I28" s="6">
        <v>1</v>
      </c>
      <c r="J28" s="6">
        <v>3</v>
      </c>
      <c r="K28" s="6">
        <v>1</v>
      </c>
      <c r="L28" t="s">
        <v>252</v>
      </c>
      <c r="M28" s="8" t="s">
        <v>469</v>
      </c>
      <c r="N28" s="8" t="s">
        <v>469</v>
      </c>
      <c r="O28" s="8" t="s">
        <v>469</v>
      </c>
      <c r="P28" s="6">
        <v>9.56</v>
      </c>
      <c r="Q28" s="6">
        <v>14.3</v>
      </c>
      <c r="R28" s="6">
        <v>40.200000000000003</v>
      </c>
      <c r="S28" s="6">
        <v>9.31</v>
      </c>
      <c r="T28" s="6">
        <v>6095.58</v>
      </c>
      <c r="U28" s="11">
        <f t="shared" si="0"/>
        <v>5437.6271186440681</v>
      </c>
      <c r="V28" s="6">
        <v>71.349999999999994</v>
      </c>
      <c r="W28" s="6">
        <v>48.83</v>
      </c>
      <c r="X28" s="7">
        <v>1</v>
      </c>
    </row>
    <row r="29" spans="1:24" hidden="1" x14ac:dyDescent="0.25">
      <c r="A29" s="7">
        <v>2024</v>
      </c>
      <c r="B29" s="6" t="s">
        <v>90</v>
      </c>
      <c r="C29" s="6" t="s">
        <v>91</v>
      </c>
      <c r="D29" s="6" t="s">
        <v>92</v>
      </c>
      <c r="E29" s="6" t="s">
        <v>26</v>
      </c>
      <c r="F29" s="6" t="s">
        <v>100</v>
      </c>
      <c r="G29" s="6">
        <v>108</v>
      </c>
      <c r="H29" s="6">
        <v>8</v>
      </c>
      <c r="I29" s="6">
        <v>1</v>
      </c>
      <c r="J29" s="6">
        <v>4</v>
      </c>
      <c r="K29" s="6">
        <v>4</v>
      </c>
      <c r="L29" t="s">
        <v>252</v>
      </c>
      <c r="M29" s="8" t="s">
        <v>31</v>
      </c>
      <c r="N29" s="8" t="s">
        <v>60</v>
      </c>
      <c r="O29" s="9" t="s">
        <v>259</v>
      </c>
      <c r="P29" s="7">
        <v>8.3000000000000007</v>
      </c>
      <c r="Q29" s="7">
        <v>15.3</v>
      </c>
      <c r="R29" s="7">
        <v>42.9</v>
      </c>
      <c r="S29" s="13">
        <f t="shared" ref="S29:S36" si="1" xml:space="preserve"> P29 * (1 - Q29 / 100) / (1 - 0.12)</f>
        <v>7.9887499999999996</v>
      </c>
      <c r="T29" s="11">
        <f t="shared" ref="T29:T36" si="2">((10000 * S29 * 12% / 2.205)) / ((4.66 * 16) / 10.764)</f>
        <v>627.6525137952176</v>
      </c>
      <c r="U29" s="11">
        <f t="shared" si="0"/>
        <v>559.90411578520752</v>
      </c>
      <c r="V29" s="6">
        <v>73.39</v>
      </c>
      <c r="W29" s="6">
        <v>50.6</v>
      </c>
      <c r="X29" s="7"/>
    </row>
    <row r="30" spans="1:24" hidden="1" x14ac:dyDescent="0.25">
      <c r="A30" s="7">
        <v>2024</v>
      </c>
      <c r="B30" s="6" t="s">
        <v>125</v>
      </c>
      <c r="C30" s="6" t="s">
        <v>126</v>
      </c>
      <c r="D30" s="6" t="s">
        <v>127</v>
      </c>
      <c r="E30" s="8" t="s">
        <v>128</v>
      </c>
      <c r="F30" s="6" t="s">
        <v>138</v>
      </c>
      <c r="G30" s="6">
        <v>109</v>
      </c>
      <c r="H30" s="6">
        <v>2</v>
      </c>
      <c r="I30" s="6">
        <v>2</v>
      </c>
      <c r="J30" s="6">
        <v>1</v>
      </c>
      <c r="K30" s="6">
        <v>10</v>
      </c>
      <c r="L30" t="s">
        <v>252</v>
      </c>
      <c r="M30" s="8" t="s">
        <v>137</v>
      </c>
      <c r="N30" s="8" t="s">
        <v>58</v>
      </c>
      <c r="O30" s="9" t="s">
        <v>468</v>
      </c>
      <c r="P30" s="6">
        <v>10.54</v>
      </c>
      <c r="Q30" s="6">
        <v>11.7</v>
      </c>
      <c r="R30" s="6">
        <v>44</v>
      </c>
      <c r="S30" s="13">
        <f t="shared" si="1"/>
        <v>10.575931818181818</v>
      </c>
      <c r="T30" s="11">
        <f t="shared" si="2"/>
        <v>830.91975483131205</v>
      </c>
      <c r="U30" s="11">
        <f t="shared" si="0"/>
        <v>741.23082500563078</v>
      </c>
      <c r="V30" s="10">
        <v>72.56</v>
      </c>
      <c r="W30" s="10">
        <v>49.57</v>
      </c>
      <c r="X30" s="7"/>
    </row>
    <row r="31" spans="1:24" hidden="1" x14ac:dyDescent="0.25">
      <c r="A31" s="7">
        <v>2024</v>
      </c>
      <c r="B31" s="6" t="s">
        <v>125</v>
      </c>
      <c r="C31" s="6" t="s">
        <v>126</v>
      </c>
      <c r="D31" s="6" t="s">
        <v>127</v>
      </c>
      <c r="E31" s="8" t="s">
        <v>128</v>
      </c>
      <c r="F31" s="6" t="s">
        <v>139</v>
      </c>
      <c r="G31" s="6">
        <v>110</v>
      </c>
      <c r="H31" s="6">
        <v>3</v>
      </c>
      <c r="I31" s="6">
        <v>2</v>
      </c>
      <c r="J31" s="6">
        <v>1</v>
      </c>
      <c r="K31" s="6">
        <v>11</v>
      </c>
      <c r="L31" t="s">
        <v>252</v>
      </c>
      <c r="M31" s="8" t="s">
        <v>137</v>
      </c>
      <c r="N31" s="8" t="s">
        <v>60</v>
      </c>
      <c r="O31" s="9" t="s">
        <v>468</v>
      </c>
      <c r="P31" s="6">
        <v>9.9700000000000006</v>
      </c>
      <c r="Q31" s="6">
        <v>11.4</v>
      </c>
      <c r="R31" s="6">
        <v>44.4</v>
      </c>
      <c r="S31" s="13">
        <f t="shared" si="1"/>
        <v>10.037977272727273</v>
      </c>
      <c r="T31" s="11">
        <f t="shared" si="2"/>
        <v>788.65425362497695</v>
      </c>
      <c r="U31" s="11">
        <f t="shared" si="0"/>
        <v>703.52743409899813</v>
      </c>
      <c r="V31" s="10">
        <v>72.52</v>
      </c>
      <c r="W31" s="10">
        <v>48.84</v>
      </c>
      <c r="X31" s="7"/>
    </row>
    <row r="32" spans="1:24" hidden="1" x14ac:dyDescent="0.25">
      <c r="A32" s="7">
        <v>2024</v>
      </c>
      <c r="B32" s="6" t="s">
        <v>125</v>
      </c>
      <c r="C32" s="6" t="s">
        <v>126</v>
      </c>
      <c r="D32" s="6" t="s">
        <v>127</v>
      </c>
      <c r="E32" s="8" t="s">
        <v>128</v>
      </c>
      <c r="F32" s="6" t="s">
        <v>140</v>
      </c>
      <c r="G32" s="6">
        <v>111</v>
      </c>
      <c r="H32" s="6">
        <v>4</v>
      </c>
      <c r="I32" s="6">
        <v>2</v>
      </c>
      <c r="J32" s="6">
        <v>1</v>
      </c>
      <c r="K32" s="6">
        <v>12</v>
      </c>
      <c r="L32" t="s">
        <v>252</v>
      </c>
      <c r="M32" s="8" t="s">
        <v>137</v>
      </c>
      <c r="N32" s="8" t="s">
        <v>62</v>
      </c>
      <c r="O32" s="9" t="s">
        <v>468</v>
      </c>
      <c r="P32" s="6">
        <v>10.72</v>
      </c>
      <c r="Q32" s="6">
        <v>11.5</v>
      </c>
      <c r="R32" s="6">
        <v>44.4</v>
      </c>
      <c r="S32" s="13">
        <f t="shared" si="1"/>
        <v>10.780909090909093</v>
      </c>
      <c r="T32" s="11">
        <f t="shared" si="2"/>
        <v>847.02421428969569</v>
      </c>
      <c r="U32" s="11">
        <f t="shared" si="0"/>
        <v>755.59697974103096</v>
      </c>
      <c r="V32" s="10">
        <v>72.790000000000006</v>
      </c>
      <c r="W32" s="10">
        <v>50.51</v>
      </c>
      <c r="X32" s="7"/>
    </row>
    <row r="33" spans="1:24" hidden="1" x14ac:dyDescent="0.25">
      <c r="A33" s="7">
        <v>2024</v>
      </c>
      <c r="B33" s="6" t="s">
        <v>125</v>
      </c>
      <c r="C33" s="6" t="s">
        <v>126</v>
      </c>
      <c r="D33" s="6" t="s">
        <v>127</v>
      </c>
      <c r="E33" s="8" t="s">
        <v>128</v>
      </c>
      <c r="F33" s="6" t="s">
        <v>141</v>
      </c>
      <c r="G33" s="6">
        <v>112</v>
      </c>
      <c r="H33" s="6">
        <v>5</v>
      </c>
      <c r="I33" s="6">
        <v>2</v>
      </c>
      <c r="J33" s="6">
        <v>1</v>
      </c>
      <c r="K33" s="6">
        <v>13</v>
      </c>
      <c r="L33" t="s">
        <v>252</v>
      </c>
      <c r="M33" s="8" t="s">
        <v>137</v>
      </c>
      <c r="N33" s="8" t="s">
        <v>59</v>
      </c>
      <c r="O33" s="9" t="s">
        <v>468</v>
      </c>
      <c r="P33" s="6">
        <v>10.79</v>
      </c>
      <c r="Q33" s="6">
        <v>12</v>
      </c>
      <c r="R33" s="6">
        <v>44.3</v>
      </c>
      <c r="S33" s="13">
        <f t="shared" si="1"/>
        <v>10.79</v>
      </c>
      <c r="T33" s="11">
        <f t="shared" si="2"/>
        <v>847.73846019094321</v>
      </c>
      <c r="U33" s="11">
        <f t="shared" si="0"/>
        <v>756.23413041118931</v>
      </c>
      <c r="V33" s="10">
        <v>73.05</v>
      </c>
      <c r="W33" s="10">
        <v>51.86</v>
      </c>
      <c r="X33" s="7"/>
    </row>
    <row r="34" spans="1:24" hidden="1" x14ac:dyDescent="0.25">
      <c r="A34" s="7">
        <v>2024</v>
      </c>
      <c r="B34" s="6" t="s">
        <v>125</v>
      </c>
      <c r="C34" s="6" t="s">
        <v>126</v>
      </c>
      <c r="D34" s="6" t="s">
        <v>127</v>
      </c>
      <c r="E34" s="8" t="s">
        <v>128</v>
      </c>
      <c r="F34" s="6" t="s">
        <v>142</v>
      </c>
      <c r="G34" s="6">
        <v>113</v>
      </c>
      <c r="H34" s="6">
        <v>6</v>
      </c>
      <c r="I34" s="6">
        <v>2</v>
      </c>
      <c r="J34" s="6">
        <v>1</v>
      </c>
      <c r="K34" s="6">
        <v>14</v>
      </c>
      <c r="L34" t="s">
        <v>252</v>
      </c>
      <c r="M34" s="8" t="s">
        <v>137</v>
      </c>
      <c r="N34" s="8" t="s">
        <v>61</v>
      </c>
      <c r="O34" s="9" t="s">
        <v>468</v>
      </c>
      <c r="P34" s="6">
        <v>10.36</v>
      </c>
      <c r="Q34" s="6">
        <v>12.2</v>
      </c>
      <c r="R34" s="6">
        <v>44.6</v>
      </c>
      <c r="S34" s="13">
        <f t="shared" si="1"/>
        <v>10.336454545454544</v>
      </c>
      <c r="T34" s="11">
        <f t="shared" si="2"/>
        <v>812.10473217769334</v>
      </c>
      <c r="U34" s="11">
        <f t="shared" si="0"/>
        <v>724.44668347697893</v>
      </c>
      <c r="V34" s="10">
        <v>72.58</v>
      </c>
      <c r="W34" s="10">
        <v>51.72</v>
      </c>
      <c r="X34" s="7"/>
    </row>
    <row r="35" spans="1:24" hidden="1" x14ac:dyDescent="0.25">
      <c r="A35" s="7">
        <v>2024</v>
      </c>
      <c r="B35" s="6" t="s">
        <v>125</v>
      </c>
      <c r="C35" s="6" t="s">
        <v>126</v>
      </c>
      <c r="D35" s="6" t="s">
        <v>127</v>
      </c>
      <c r="E35" s="8" t="s">
        <v>128</v>
      </c>
      <c r="F35" s="6" t="s">
        <v>143</v>
      </c>
      <c r="G35" s="6">
        <v>114</v>
      </c>
      <c r="H35" s="6">
        <v>7</v>
      </c>
      <c r="I35" s="6">
        <v>2</v>
      </c>
      <c r="J35" s="6">
        <v>1</v>
      </c>
      <c r="K35" s="6">
        <v>8</v>
      </c>
      <c r="L35" t="s">
        <v>252</v>
      </c>
      <c r="M35" s="8" t="s">
        <v>33</v>
      </c>
      <c r="N35" s="8" t="s">
        <v>58</v>
      </c>
      <c r="O35" s="9" t="s">
        <v>467</v>
      </c>
      <c r="P35" s="6">
        <v>9.42</v>
      </c>
      <c r="Q35" s="6">
        <v>11.2</v>
      </c>
      <c r="R35" s="6">
        <v>43.8</v>
      </c>
      <c r="S35" s="13">
        <f t="shared" si="1"/>
        <v>9.5056363636363628</v>
      </c>
      <c r="T35" s="11">
        <f t="shared" si="2"/>
        <v>746.82979926266239</v>
      </c>
      <c r="U35" s="11">
        <f t="shared" ref="U35:U66" si="3">T35/1.121</f>
        <v>666.21748373118862</v>
      </c>
      <c r="V35" s="10">
        <v>72.37</v>
      </c>
      <c r="W35" s="10">
        <v>48.65</v>
      </c>
      <c r="X35" s="7"/>
    </row>
    <row r="36" spans="1:24" hidden="1" x14ac:dyDescent="0.25">
      <c r="A36" s="7">
        <v>2024</v>
      </c>
      <c r="B36" s="6" t="s">
        <v>125</v>
      </c>
      <c r="C36" s="6" t="s">
        <v>126</v>
      </c>
      <c r="D36" s="6" t="s">
        <v>127</v>
      </c>
      <c r="E36" s="8" t="s">
        <v>128</v>
      </c>
      <c r="F36" s="6" t="s">
        <v>144</v>
      </c>
      <c r="G36" s="6">
        <v>201</v>
      </c>
      <c r="H36" s="6">
        <v>1</v>
      </c>
      <c r="I36" s="6">
        <v>3</v>
      </c>
      <c r="J36" s="6">
        <v>2</v>
      </c>
      <c r="K36" s="6">
        <v>12</v>
      </c>
      <c r="L36" t="s">
        <v>252</v>
      </c>
      <c r="M36" s="8" t="s">
        <v>137</v>
      </c>
      <c r="N36" s="8" t="s">
        <v>62</v>
      </c>
      <c r="O36" s="9" t="s">
        <v>468</v>
      </c>
      <c r="P36" s="6">
        <v>11.2</v>
      </c>
      <c r="Q36" s="6">
        <v>11.9</v>
      </c>
      <c r="R36" s="6">
        <v>44.5</v>
      </c>
      <c r="S36" s="13">
        <f t="shared" si="1"/>
        <v>11.212727272727271</v>
      </c>
      <c r="T36" s="11">
        <f t="shared" si="2"/>
        <v>880.95089459896303</v>
      </c>
      <c r="U36" s="11">
        <f t="shared" si="3"/>
        <v>785.86163657356201</v>
      </c>
      <c r="V36" s="10">
        <v>72.64</v>
      </c>
      <c r="W36" s="10">
        <v>49.26</v>
      </c>
      <c r="X36" s="7"/>
    </row>
    <row r="37" spans="1:24" x14ac:dyDescent="0.25">
      <c r="A37" s="7">
        <v>2024</v>
      </c>
      <c r="B37" s="6" t="s">
        <v>27</v>
      </c>
      <c r="C37" s="6" t="s">
        <v>28</v>
      </c>
      <c r="D37" s="6" t="s">
        <v>29</v>
      </c>
      <c r="E37" s="6" t="s">
        <v>24</v>
      </c>
      <c r="F37" s="6" t="s">
        <v>36</v>
      </c>
      <c r="G37" s="6">
        <v>201</v>
      </c>
      <c r="H37" s="6">
        <v>1</v>
      </c>
      <c r="I37" s="6">
        <v>2</v>
      </c>
      <c r="J37" s="6">
        <v>1</v>
      </c>
      <c r="K37" s="6">
        <v>1</v>
      </c>
      <c r="L37" t="s">
        <v>23</v>
      </c>
      <c r="M37" s="8" t="s">
        <v>469</v>
      </c>
      <c r="N37" s="8" t="s">
        <v>469</v>
      </c>
      <c r="O37" s="8" t="s">
        <v>469</v>
      </c>
      <c r="P37" s="6">
        <v>11.75</v>
      </c>
      <c r="Q37" s="6">
        <v>17.3</v>
      </c>
      <c r="R37" s="6">
        <v>43</v>
      </c>
      <c r="S37" s="6">
        <v>11.04</v>
      </c>
      <c r="T37" s="6">
        <v>7229.69</v>
      </c>
      <c r="U37" s="11">
        <f t="shared" si="3"/>
        <v>6449.3220338983047</v>
      </c>
      <c r="V37" s="6">
        <v>72.430000000000007</v>
      </c>
      <c r="W37" s="6">
        <v>53.93</v>
      </c>
      <c r="X37" s="7">
        <v>2</v>
      </c>
    </row>
    <row r="38" spans="1:24" hidden="1" x14ac:dyDescent="0.25">
      <c r="A38" s="7">
        <v>2024</v>
      </c>
      <c r="B38" s="6" t="s">
        <v>90</v>
      </c>
      <c r="C38" s="6" t="s">
        <v>91</v>
      </c>
      <c r="D38" s="6" t="s">
        <v>92</v>
      </c>
      <c r="E38" s="6" t="s">
        <v>26</v>
      </c>
      <c r="F38" s="6" t="s">
        <v>101</v>
      </c>
      <c r="G38" s="6">
        <v>201</v>
      </c>
      <c r="H38" s="6">
        <v>1</v>
      </c>
      <c r="I38" s="6">
        <v>2</v>
      </c>
      <c r="J38" s="6">
        <v>1</v>
      </c>
      <c r="K38" s="6">
        <v>1</v>
      </c>
      <c r="L38" t="s">
        <v>252</v>
      </c>
      <c r="M38" s="8" t="s">
        <v>469</v>
      </c>
      <c r="N38" s="8" t="s">
        <v>469</v>
      </c>
      <c r="O38" s="8" t="s">
        <v>469</v>
      </c>
      <c r="P38" s="7">
        <v>8.3000000000000007</v>
      </c>
      <c r="Q38" s="7">
        <v>13.5</v>
      </c>
      <c r="R38" s="7">
        <v>43.6</v>
      </c>
      <c r="S38" s="13">
        <f xml:space="preserve"> P38 * (1 - Q38 / 100) / (1 - 0.12)</f>
        <v>8.1585227272727288</v>
      </c>
      <c r="T38" s="11">
        <f>((10000 * S38 * 12% / 2.205)) / ((4.66 * 16) / 10.764)</f>
        <v>640.99105600101927</v>
      </c>
      <c r="U38" s="11">
        <f t="shared" si="3"/>
        <v>571.80290455041859</v>
      </c>
      <c r="V38" s="6">
        <v>74.959999999999994</v>
      </c>
      <c r="W38" s="6">
        <v>61.92</v>
      </c>
      <c r="X38" s="7"/>
    </row>
    <row r="39" spans="1:24" hidden="1" x14ac:dyDescent="0.25">
      <c r="A39" s="7">
        <v>2024</v>
      </c>
      <c r="B39" s="6" t="s">
        <v>63</v>
      </c>
      <c r="C39" s="6" t="s">
        <v>64</v>
      </c>
      <c r="D39" s="6" t="s">
        <v>65</v>
      </c>
      <c r="E39" s="6" t="s">
        <v>25</v>
      </c>
      <c r="F39" s="6" t="s">
        <v>74</v>
      </c>
      <c r="G39" s="6">
        <v>201</v>
      </c>
      <c r="H39" s="6">
        <v>1</v>
      </c>
      <c r="I39" s="6">
        <v>2</v>
      </c>
      <c r="J39" s="6">
        <v>1</v>
      </c>
      <c r="K39" s="6">
        <v>6</v>
      </c>
      <c r="L39" t="s">
        <v>252</v>
      </c>
      <c r="M39" s="8" t="s">
        <v>31</v>
      </c>
      <c r="N39" s="8" t="s">
        <v>59</v>
      </c>
      <c r="O39" s="9" t="s">
        <v>259</v>
      </c>
      <c r="P39" s="6">
        <v>7.43</v>
      </c>
      <c r="Q39" s="6">
        <v>14.1</v>
      </c>
      <c r="R39" s="6">
        <v>33.299999999999997</v>
      </c>
      <c r="S39" s="6">
        <v>7.25</v>
      </c>
      <c r="T39" s="6">
        <v>4748.5200000000004</v>
      </c>
      <c r="U39" s="11">
        <f t="shared" si="3"/>
        <v>4235.967885816236</v>
      </c>
      <c r="V39" s="6">
        <v>64.95</v>
      </c>
      <c r="W39" s="6">
        <v>39.1</v>
      </c>
      <c r="X39" s="7">
        <v>1</v>
      </c>
    </row>
    <row r="40" spans="1:24" x14ac:dyDescent="0.25">
      <c r="A40" s="7">
        <v>2024</v>
      </c>
      <c r="B40" s="6" t="s">
        <v>27</v>
      </c>
      <c r="C40" s="6" t="s">
        <v>28</v>
      </c>
      <c r="D40" s="6" t="s">
        <v>29</v>
      </c>
      <c r="E40" s="6" t="s">
        <v>24</v>
      </c>
      <c r="F40" s="6" t="s">
        <v>37</v>
      </c>
      <c r="G40" s="6">
        <v>202</v>
      </c>
      <c r="H40" s="6">
        <v>2</v>
      </c>
      <c r="I40" s="6">
        <v>2</v>
      </c>
      <c r="J40" s="6">
        <v>1</v>
      </c>
      <c r="K40" s="6">
        <v>3</v>
      </c>
      <c r="L40" t="s">
        <v>23</v>
      </c>
      <c r="M40" s="8" t="s">
        <v>31</v>
      </c>
      <c r="N40" s="8" t="s">
        <v>58</v>
      </c>
      <c r="O40" s="9" t="s">
        <v>259</v>
      </c>
      <c r="P40" s="6">
        <v>10.45</v>
      </c>
      <c r="Q40" s="6">
        <v>16.399999999999999</v>
      </c>
      <c r="R40" s="6">
        <v>43.3</v>
      </c>
      <c r="S40" s="6">
        <v>9.93</v>
      </c>
      <c r="T40" s="6">
        <v>6499.79</v>
      </c>
      <c r="U40" s="11">
        <f t="shared" si="3"/>
        <v>5798.2069580731486</v>
      </c>
      <c r="V40" s="6">
        <v>72.260000000000005</v>
      </c>
      <c r="W40" s="6">
        <v>52.72</v>
      </c>
      <c r="X40" s="7">
        <v>1</v>
      </c>
    </row>
    <row r="41" spans="1:24" hidden="1" x14ac:dyDescent="0.25">
      <c r="A41" s="7">
        <v>2024</v>
      </c>
      <c r="B41" s="6" t="s">
        <v>63</v>
      </c>
      <c r="C41" s="6" t="s">
        <v>64</v>
      </c>
      <c r="D41" s="6" t="s">
        <v>65</v>
      </c>
      <c r="E41" s="6" t="s">
        <v>25</v>
      </c>
      <c r="F41" s="6" t="s">
        <v>75</v>
      </c>
      <c r="G41" s="6">
        <v>202</v>
      </c>
      <c r="H41" s="6">
        <v>2</v>
      </c>
      <c r="I41" s="6">
        <v>2</v>
      </c>
      <c r="J41" s="6">
        <v>1</v>
      </c>
      <c r="K41" s="6">
        <v>2</v>
      </c>
      <c r="L41" t="s">
        <v>252</v>
      </c>
      <c r="M41" s="8" t="s">
        <v>31</v>
      </c>
      <c r="N41" s="8" t="s">
        <v>57</v>
      </c>
      <c r="O41" s="9" t="s">
        <v>259</v>
      </c>
      <c r="P41" s="6">
        <v>6.91</v>
      </c>
      <c r="Q41" s="6">
        <v>15.5</v>
      </c>
      <c r="R41" s="6">
        <v>36.700000000000003</v>
      </c>
      <c r="S41" s="6">
        <v>6.64</v>
      </c>
      <c r="T41" s="6">
        <v>4344.21</v>
      </c>
      <c r="U41" s="11">
        <f t="shared" si="3"/>
        <v>3875.2988403211421</v>
      </c>
      <c r="V41" s="6">
        <v>67.87</v>
      </c>
      <c r="W41" s="6">
        <v>40.43</v>
      </c>
      <c r="X41" s="7">
        <v>1</v>
      </c>
    </row>
    <row r="42" spans="1:24" hidden="1" x14ac:dyDescent="0.25">
      <c r="A42" s="7">
        <v>2024</v>
      </c>
      <c r="B42" s="6" t="s">
        <v>90</v>
      </c>
      <c r="C42" s="6" t="s">
        <v>91</v>
      </c>
      <c r="D42" s="6" t="s">
        <v>92</v>
      </c>
      <c r="E42" s="6" t="s">
        <v>26</v>
      </c>
      <c r="F42" s="6" t="s">
        <v>102</v>
      </c>
      <c r="G42" s="6">
        <v>202</v>
      </c>
      <c r="H42" s="6">
        <v>2</v>
      </c>
      <c r="I42" s="6">
        <v>2</v>
      </c>
      <c r="J42" s="6">
        <v>1</v>
      </c>
      <c r="K42" s="6">
        <v>4</v>
      </c>
      <c r="L42" t="s">
        <v>252</v>
      </c>
      <c r="M42" s="8" t="s">
        <v>31</v>
      </c>
      <c r="N42" s="8" t="s">
        <v>60</v>
      </c>
      <c r="O42" s="9" t="s">
        <v>259</v>
      </c>
      <c r="P42" s="7">
        <v>9.6300000000000008</v>
      </c>
      <c r="Q42" s="7">
        <v>14.2</v>
      </c>
      <c r="R42" s="7">
        <v>43.7</v>
      </c>
      <c r="S42" s="13">
        <f xml:space="preserve"> P42 * (1 - Q42 / 100) / (1 - 0.12)</f>
        <v>9.3892500000000023</v>
      </c>
      <c r="T42" s="11">
        <f>((10000 * S42 * 12% / 2.205)) / ((4.66 * 16) / 10.764)</f>
        <v>737.68566611193842</v>
      </c>
      <c r="U42" s="11">
        <f t="shared" si="3"/>
        <v>658.06036227648383</v>
      </c>
      <c r="V42" s="6">
        <v>75.19</v>
      </c>
      <c r="W42" s="6">
        <v>62.92</v>
      </c>
      <c r="X42" s="7"/>
    </row>
    <row r="43" spans="1:24" hidden="1" x14ac:dyDescent="0.25">
      <c r="A43" s="7">
        <v>2024</v>
      </c>
      <c r="B43" s="6" t="s">
        <v>125</v>
      </c>
      <c r="C43" s="6" t="s">
        <v>126</v>
      </c>
      <c r="D43" s="6" t="s">
        <v>127</v>
      </c>
      <c r="E43" s="8" t="s">
        <v>128</v>
      </c>
      <c r="F43" s="6" t="s">
        <v>145</v>
      </c>
      <c r="G43" s="6">
        <v>202</v>
      </c>
      <c r="H43" s="6">
        <v>2</v>
      </c>
      <c r="I43" s="6">
        <v>3</v>
      </c>
      <c r="J43" s="6">
        <v>2</v>
      </c>
      <c r="K43" s="6">
        <v>7</v>
      </c>
      <c r="L43" t="s">
        <v>252</v>
      </c>
      <c r="M43" s="8" t="s">
        <v>31</v>
      </c>
      <c r="N43" s="8" t="s">
        <v>61</v>
      </c>
      <c r="O43" s="9" t="s">
        <v>259</v>
      </c>
      <c r="P43" s="6">
        <v>10.78</v>
      </c>
      <c r="Q43" s="6">
        <v>12.2</v>
      </c>
      <c r="R43" s="6">
        <v>43.7</v>
      </c>
      <c r="S43" s="13">
        <f xml:space="preserve"> P43 * (1 - Q43 / 100) / (1 - 0.12)</f>
        <v>10.755499999999998</v>
      </c>
      <c r="T43" s="11">
        <f>((10000 * S43 * 12% / 2.205)) / ((4.66 * 16) / 10.764)</f>
        <v>845.02789699570792</v>
      </c>
      <c r="U43" s="11">
        <f t="shared" si="3"/>
        <v>753.81614361793754</v>
      </c>
      <c r="V43" s="10">
        <v>72.180000000000007</v>
      </c>
      <c r="W43" s="10">
        <v>49.24</v>
      </c>
      <c r="X43" s="7"/>
    </row>
    <row r="44" spans="1:24" hidden="1" x14ac:dyDescent="0.25">
      <c r="A44" s="7">
        <v>2024</v>
      </c>
      <c r="B44" s="6" t="s">
        <v>125</v>
      </c>
      <c r="C44" s="6" t="s">
        <v>126</v>
      </c>
      <c r="D44" s="6" t="s">
        <v>127</v>
      </c>
      <c r="E44" s="8" t="s">
        <v>128</v>
      </c>
      <c r="F44" s="6" t="s">
        <v>146</v>
      </c>
      <c r="G44" s="6">
        <v>203</v>
      </c>
      <c r="H44" s="6">
        <v>3</v>
      </c>
      <c r="I44" s="6">
        <v>3</v>
      </c>
      <c r="J44" s="6">
        <v>2</v>
      </c>
      <c r="K44" s="6">
        <v>13</v>
      </c>
      <c r="L44" t="s">
        <v>252</v>
      </c>
      <c r="M44" s="8" t="s">
        <v>137</v>
      </c>
      <c r="N44" s="8" t="s">
        <v>59</v>
      </c>
      <c r="O44" s="9" t="s">
        <v>468</v>
      </c>
      <c r="P44" s="6">
        <v>10.83</v>
      </c>
      <c r="Q44" s="6">
        <v>12.2</v>
      </c>
      <c r="R44" s="6">
        <v>44.4</v>
      </c>
      <c r="S44" s="13">
        <f xml:space="preserve"> P44 * (1 - Q44 / 100) / (1 - 0.12)</f>
        <v>10.805386363636362</v>
      </c>
      <c r="T44" s="11">
        <f>((10000 * S44 * 12% / 2.205)) / ((4.66 * 16) / 10.764)</f>
        <v>848.94732137880487</v>
      </c>
      <c r="U44" s="11">
        <f t="shared" si="3"/>
        <v>757.31250792043249</v>
      </c>
      <c r="V44" s="10">
        <v>72.39</v>
      </c>
      <c r="W44" s="10">
        <v>49.67</v>
      </c>
      <c r="X44" s="7"/>
    </row>
    <row r="45" spans="1:24" x14ac:dyDescent="0.25">
      <c r="A45" s="7">
        <v>2024</v>
      </c>
      <c r="B45" s="6" t="s">
        <v>27</v>
      </c>
      <c r="C45" s="6" t="s">
        <v>28</v>
      </c>
      <c r="D45" s="6" t="s">
        <v>29</v>
      </c>
      <c r="E45" s="6" t="s">
        <v>24</v>
      </c>
      <c r="F45" s="6" t="s">
        <v>38</v>
      </c>
      <c r="G45" s="6">
        <v>203</v>
      </c>
      <c r="H45" s="6">
        <v>3</v>
      </c>
      <c r="I45" s="6">
        <v>2</v>
      </c>
      <c r="J45" s="6">
        <v>2</v>
      </c>
      <c r="K45" s="6">
        <v>2</v>
      </c>
      <c r="L45" t="s">
        <v>23</v>
      </c>
      <c r="M45" s="8" t="s">
        <v>31</v>
      </c>
      <c r="N45" s="8" t="s">
        <v>57</v>
      </c>
      <c r="O45" s="9" t="s">
        <v>259</v>
      </c>
      <c r="P45" s="6">
        <v>10.97</v>
      </c>
      <c r="Q45" s="6">
        <v>17</v>
      </c>
      <c r="R45" s="6">
        <v>43.2</v>
      </c>
      <c r="S45" s="6">
        <v>10.35</v>
      </c>
      <c r="T45" s="6">
        <v>6774.25</v>
      </c>
      <c r="U45" s="11">
        <f t="shared" si="3"/>
        <v>6043.0419268510259</v>
      </c>
      <c r="V45" s="6">
        <v>72.03</v>
      </c>
      <c r="W45" s="6">
        <v>52.49</v>
      </c>
      <c r="X45" s="7">
        <v>0</v>
      </c>
    </row>
    <row r="46" spans="1:24" hidden="1" x14ac:dyDescent="0.25">
      <c r="A46" s="7">
        <v>2024</v>
      </c>
      <c r="B46" s="6" t="s">
        <v>63</v>
      </c>
      <c r="C46" s="6" t="s">
        <v>64</v>
      </c>
      <c r="D46" s="6" t="s">
        <v>65</v>
      </c>
      <c r="E46" s="6" t="s">
        <v>25</v>
      </c>
      <c r="F46" s="6" t="s">
        <v>76</v>
      </c>
      <c r="G46" s="6">
        <v>203</v>
      </c>
      <c r="H46" s="6">
        <v>3</v>
      </c>
      <c r="I46" s="6">
        <v>2</v>
      </c>
      <c r="J46" s="6">
        <v>1</v>
      </c>
      <c r="K46" s="6">
        <v>7</v>
      </c>
      <c r="L46" t="s">
        <v>252</v>
      </c>
      <c r="M46" s="8" t="s">
        <v>31</v>
      </c>
      <c r="N46" s="8" t="s">
        <v>61</v>
      </c>
      <c r="O46" s="9" t="s">
        <v>259</v>
      </c>
      <c r="P46" s="6">
        <v>8.83</v>
      </c>
      <c r="Q46" s="6">
        <v>14.6</v>
      </c>
      <c r="R46" s="6">
        <v>39.200000000000003</v>
      </c>
      <c r="S46" s="6">
        <v>8.57</v>
      </c>
      <c r="T46" s="6">
        <v>5610.42</v>
      </c>
      <c r="U46" s="11">
        <f t="shared" si="3"/>
        <v>5004.8349687778773</v>
      </c>
      <c r="V46" s="6">
        <v>69.8</v>
      </c>
      <c r="W46" s="6">
        <v>46.09</v>
      </c>
      <c r="X46" s="7">
        <v>1</v>
      </c>
    </row>
    <row r="47" spans="1:24" hidden="1" x14ac:dyDescent="0.25">
      <c r="A47" s="7">
        <v>2024</v>
      </c>
      <c r="B47" s="6" t="s">
        <v>90</v>
      </c>
      <c r="C47" s="6" t="s">
        <v>91</v>
      </c>
      <c r="D47" s="6" t="s">
        <v>92</v>
      </c>
      <c r="E47" s="6" t="s">
        <v>26</v>
      </c>
      <c r="F47" s="6" t="s">
        <v>103</v>
      </c>
      <c r="G47" s="6">
        <v>203</v>
      </c>
      <c r="H47" s="6">
        <v>3</v>
      </c>
      <c r="I47" s="6">
        <v>2</v>
      </c>
      <c r="J47" s="6">
        <v>2</v>
      </c>
      <c r="K47" s="6">
        <v>8</v>
      </c>
      <c r="L47" t="s">
        <v>252</v>
      </c>
      <c r="M47" s="8" t="s">
        <v>33</v>
      </c>
      <c r="N47" s="8" t="s">
        <v>58</v>
      </c>
      <c r="O47" s="9" t="s">
        <v>467</v>
      </c>
      <c r="P47" s="7">
        <v>10.32</v>
      </c>
      <c r="Q47" s="7">
        <v>14</v>
      </c>
      <c r="R47" s="7">
        <v>43.8</v>
      </c>
      <c r="S47" s="13">
        <f xml:space="preserve"> P47 * (1 - Q47 / 100) / (1 - 0.12)</f>
        <v>10.085454545454544</v>
      </c>
      <c r="T47" s="11">
        <f>((10000 * S47 * 12% / 2.205)) / ((4.66 * 16) / 10.764)</f>
        <v>792.38440284424325</v>
      </c>
      <c r="U47" s="11">
        <f t="shared" si="3"/>
        <v>706.85495347390122</v>
      </c>
      <c r="V47" s="6">
        <v>74.06</v>
      </c>
      <c r="W47" s="6">
        <v>61.32</v>
      </c>
      <c r="X47" s="7"/>
    </row>
    <row r="48" spans="1:24" x14ac:dyDescent="0.25">
      <c r="A48" s="7">
        <v>2024</v>
      </c>
      <c r="B48" s="6" t="s">
        <v>27</v>
      </c>
      <c r="C48" s="6" t="s">
        <v>28</v>
      </c>
      <c r="D48" s="6" t="s">
        <v>29</v>
      </c>
      <c r="E48" s="6" t="s">
        <v>24</v>
      </c>
      <c r="F48" s="6" t="s">
        <v>39</v>
      </c>
      <c r="G48" s="6">
        <v>204</v>
      </c>
      <c r="H48" s="6">
        <v>4</v>
      </c>
      <c r="I48" s="6">
        <v>2</v>
      </c>
      <c r="J48" s="6">
        <v>3</v>
      </c>
      <c r="K48" s="6">
        <v>6</v>
      </c>
      <c r="L48" t="s">
        <v>23</v>
      </c>
      <c r="M48" s="8" t="s">
        <v>31</v>
      </c>
      <c r="N48" s="8" t="s">
        <v>59</v>
      </c>
      <c r="O48" s="9" t="s">
        <v>259</v>
      </c>
      <c r="P48" s="6">
        <v>10.53</v>
      </c>
      <c r="Q48" s="6">
        <v>17.2</v>
      </c>
      <c r="R48" s="6">
        <v>43.1</v>
      </c>
      <c r="S48" s="6">
        <v>9.91</v>
      </c>
      <c r="T48" s="6">
        <v>6486.87</v>
      </c>
      <c r="U48" s="11">
        <f t="shared" si="3"/>
        <v>5786.681534344335</v>
      </c>
      <c r="V48" s="6">
        <v>71.98</v>
      </c>
      <c r="W48" s="6">
        <v>52.52</v>
      </c>
      <c r="X48" s="7">
        <v>1</v>
      </c>
    </row>
    <row r="49" spans="1:24" hidden="1" x14ac:dyDescent="0.25">
      <c r="A49" s="7">
        <v>2024</v>
      </c>
      <c r="B49" s="6" t="s">
        <v>90</v>
      </c>
      <c r="C49" s="6" t="s">
        <v>91</v>
      </c>
      <c r="D49" s="6" t="s">
        <v>92</v>
      </c>
      <c r="E49" s="6" t="s">
        <v>26</v>
      </c>
      <c r="F49" s="6" t="s">
        <v>104</v>
      </c>
      <c r="G49" s="6">
        <v>204</v>
      </c>
      <c r="H49" s="6">
        <v>4</v>
      </c>
      <c r="I49" s="6">
        <v>2</v>
      </c>
      <c r="J49" s="6">
        <v>2</v>
      </c>
      <c r="K49" s="6">
        <v>7</v>
      </c>
      <c r="L49" t="s">
        <v>252</v>
      </c>
      <c r="M49" s="8" t="s">
        <v>31</v>
      </c>
      <c r="N49" s="8" t="s">
        <v>61</v>
      </c>
      <c r="O49" s="9" t="s">
        <v>259</v>
      </c>
      <c r="P49" s="7">
        <v>10.68</v>
      </c>
      <c r="Q49" s="7">
        <v>15.2</v>
      </c>
      <c r="R49" s="7">
        <v>43.2</v>
      </c>
      <c r="S49" s="13">
        <f xml:space="preserve"> P49 * (1 - Q49 / 100) / (1 - 0.12)</f>
        <v>10.291636363636364</v>
      </c>
      <c r="T49" s="11">
        <f>((10000 * S49 * 12% / 2.205)) / ((4.66 * 16) / 10.764)</f>
        <v>808.58349988454222</v>
      </c>
      <c r="U49" s="11">
        <f t="shared" si="3"/>
        <v>721.30553067309745</v>
      </c>
      <c r="V49" s="6">
        <v>74.930000000000007</v>
      </c>
      <c r="W49" s="6">
        <v>63.88</v>
      </c>
      <c r="X49" s="7"/>
    </row>
    <row r="50" spans="1:24" hidden="1" x14ac:dyDescent="0.25">
      <c r="A50" s="7">
        <v>2024</v>
      </c>
      <c r="B50" s="6" t="s">
        <v>125</v>
      </c>
      <c r="C50" s="6" t="s">
        <v>126</v>
      </c>
      <c r="D50" s="6" t="s">
        <v>127</v>
      </c>
      <c r="E50" s="8" t="s">
        <v>128</v>
      </c>
      <c r="F50" s="6" t="s">
        <v>147</v>
      </c>
      <c r="G50" s="6">
        <v>204</v>
      </c>
      <c r="H50" s="6">
        <v>4</v>
      </c>
      <c r="I50" s="6">
        <v>3</v>
      </c>
      <c r="J50" s="6">
        <v>2</v>
      </c>
      <c r="K50" s="6">
        <v>2</v>
      </c>
      <c r="L50" t="s">
        <v>252</v>
      </c>
      <c r="M50" s="8" t="s">
        <v>31</v>
      </c>
      <c r="N50" s="8" t="s">
        <v>57</v>
      </c>
      <c r="O50" s="9" t="s">
        <v>259</v>
      </c>
      <c r="P50" s="6">
        <v>9.83</v>
      </c>
      <c r="Q50" s="6">
        <v>11.4</v>
      </c>
      <c r="R50" s="6">
        <v>44.3</v>
      </c>
      <c r="S50" s="13">
        <f xml:space="preserve"> P50 * (1 - Q50 / 100) / (1 - 0.12)</f>
        <v>9.8970227272727271</v>
      </c>
      <c r="T50" s="11">
        <f>((10000 * S50 * 12% / 2.205)) / ((4.66 * 16) / 10.764)</f>
        <v>777.57987092613075</v>
      </c>
      <c r="U50" s="11">
        <f t="shared" si="3"/>
        <v>693.64841295818974</v>
      </c>
      <c r="V50" s="10">
        <v>72.11</v>
      </c>
      <c r="W50" s="10">
        <v>47.95</v>
      </c>
      <c r="X50" s="7"/>
    </row>
    <row r="51" spans="1:24" hidden="1" x14ac:dyDescent="0.25">
      <c r="A51" s="7">
        <v>2024</v>
      </c>
      <c r="B51" s="6" t="s">
        <v>63</v>
      </c>
      <c r="C51" s="6" t="s">
        <v>64</v>
      </c>
      <c r="D51" s="6" t="s">
        <v>65</v>
      </c>
      <c r="E51" s="6" t="s">
        <v>25</v>
      </c>
      <c r="F51" s="6" t="s">
        <v>77</v>
      </c>
      <c r="G51" s="6">
        <v>204</v>
      </c>
      <c r="H51" s="6">
        <v>4</v>
      </c>
      <c r="I51" s="6">
        <v>2</v>
      </c>
      <c r="J51" s="6">
        <v>2</v>
      </c>
      <c r="K51" s="6">
        <v>8</v>
      </c>
      <c r="L51" t="s">
        <v>252</v>
      </c>
      <c r="M51" s="8" t="s">
        <v>33</v>
      </c>
      <c r="N51" s="8" t="s">
        <v>58</v>
      </c>
      <c r="O51" s="9" t="s">
        <v>467</v>
      </c>
      <c r="P51" s="6">
        <v>9.0500000000000007</v>
      </c>
      <c r="Q51" s="6">
        <v>14.7</v>
      </c>
      <c r="R51" s="6">
        <v>39.6</v>
      </c>
      <c r="S51" s="6">
        <v>8.77</v>
      </c>
      <c r="T51" s="6">
        <v>5743.47</v>
      </c>
      <c r="U51" s="11">
        <f t="shared" si="3"/>
        <v>5123.5236396074934</v>
      </c>
      <c r="V51" s="6">
        <v>69.69</v>
      </c>
      <c r="W51" s="6">
        <v>46.3</v>
      </c>
      <c r="X51" s="7">
        <v>0</v>
      </c>
    </row>
    <row r="52" spans="1:24" hidden="1" x14ac:dyDescent="0.25">
      <c r="A52" s="7">
        <v>2024</v>
      </c>
      <c r="B52" s="6" t="s">
        <v>63</v>
      </c>
      <c r="C52" s="6" t="s">
        <v>64</v>
      </c>
      <c r="D52" s="6" t="s">
        <v>65</v>
      </c>
      <c r="E52" s="6" t="s">
        <v>25</v>
      </c>
      <c r="F52" s="6" t="s">
        <v>78</v>
      </c>
      <c r="G52" s="6">
        <v>205</v>
      </c>
      <c r="H52" s="6">
        <v>5</v>
      </c>
      <c r="I52" s="6">
        <v>2</v>
      </c>
      <c r="J52" s="6">
        <v>2</v>
      </c>
      <c r="K52" s="6">
        <v>6</v>
      </c>
      <c r="L52" t="s">
        <v>252</v>
      </c>
      <c r="M52" s="8" t="s">
        <v>31</v>
      </c>
      <c r="N52" s="8" t="s">
        <v>59</v>
      </c>
      <c r="O52" s="9" t="s">
        <v>259</v>
      </c>
      <c r="P52" s="6">
        <v>9.67</v>
      </c>
      <c r="Q52" s="6">
        <v>14.4</v>
      </c>
      <c r="R52" s="6">
        <v>39</v>
      </c>
      <c r="S52" s="6">
        <v>9.41</v>
      </c>
      <c r="T52" s="6">
        <v>6158.53</v>
      </c>
      <c r="U52" s="11">
        <f t="shared" si="3"/>
        <v>5493.7823371989289</v>
      </c>
      <c r="V52" s="6">
        <v>71.09</v>
      </c>
      <c r="W52" s="6">
        <v>50.58</v>
      </c>
      <c r="X52" s="7">
        <v>0</v>
      </c>
    </row>
    <row r="53" spans="1:24" hidden="1" x14ac:dyDescent="0.25">
      <c r="A53" s="7">
        <v>2024</v>
      </c>
      <c r="B53" s="6" t="s">
        <v>90</v>
      </c>
      <c r="C53" s="6" t="s">
        <v>91</v>
      </c>
      <c r="D53" s="6" t="s">
        <v>92</v>
      </c>
      <c r="E53" s="6" t="s">
        <v>26</v>
      </c>
      <c r="F53" s="6" t="s">
        <v>105</v>
      </c>
      <c r="G53" s="6">
        <v>205</v>
      </c>
      <c r="H53" s="6">
        <v>5</v>
      </c>
      <c r="I53" s="6">
        <v>2</v>
      </c>
      <c r="J53" s="6">
        <v>3</v>
      </c>
      <c r="K53" s="6">
        <v>4</v>
      </c>
      <c r="L53" t="s">
        <v>252</v>
      </c>
      <c r="M53" s="8" t="s">
        <v>31</v>
      </c>
      <c r="N53" s="8" t="s">
        <v>60</v>
      </c>
      <c r="O53" s="9" t="s">
        <v>259</v>
      </c>
      <c r="P53" s="7">
        <v>9.48</v>
      </c>
      <c r="Q53" s="7">
        <v>15</v>
      </c>
      <c r="R53" s="7">
        <v>43.1</v>
      </c>
      <c r="S53" s="13">
        <f xml:space="preserve"> P53 * (1 - Q53 / 100) / (1 - 0.12)</f>
        <v>9.1568181818181813</v>
      </c>
      <c r="T53" s="11">
        <f>((10000 * S53 * 12% / 2.205)) / ((4.66 * 16) / 10.764)</f>
        <v>719.42418403178658</v>
      </c>
      <c r="U53" s="11">
        <f t="shared" si="3"/>
        <v>641.7700125172048</v>
      </c>
      <c r="V53" s="6">
        <v>74.180000000000007</v>
      </c>
      <c r="W53" s="6">
        <v>60.55</v>
      </c>
      <c r="X53" s="7"/>
    </row>
    <row r="54" spans="1:24" hidden="1" x14ac:dyDescent="0.25">
      <c r="A54" s="7">
        <v>2024</v>
      </c>
      <c r="B54" s="6" t="s">
        <v>125</v>
      </c>
      <c r="C54" s="6" t="s">
        <v>126</v>
      </c>
      <c r="D54" s="6" t="s">
        <v>127</v>
      </c>
      <c r="E54" s="8" t="s">
        <v>128</v>
      </c>
      <c r="F54" s="6" t="s">
        <v>148</v>
      </c>
      <c r="G54" s="6">
        <v>205</v>
      </c>
      <c r="H54" s="6">
        <v>5</v>
      </c>
      <c r="I54" s="6">
        <v>3</v>
      </c>
      <c r="J54" s="6">
        <v>2</v>
      </c>
      <c r="K54" s="6">
        <v>4</v>
      </c>
      <c r="L54" t="s">
        <v>252</v>
      </c>
      <c r="M54" s="8" t="s">
        <v>31</v>
      </c>
      <c r="N54" s="8" t="s">
        <v>60</v>
      </c>
      <c r="O54" s="9" t="s">
        <v>259</v>
      </c>
      <c r="P54" s="6">
        <v>11.46</v>
      </c>
      <c r="Q54" s="6">
        <v>10.9</v>
      </c>
      <c r="R54" s="6">
        <v>43.8</v>
      </c>
      <c r="S54" s="13">
        <f xml:space="preserve"> P54 * (1 - Q54 / 100) / (1 - 0.12)</f>
        <v>11.603250000000001</v>
      </c>
      <c r="T54" s="11">
        <f>((10000 * S54 * 12% / 2.205)) / ((4.66 * 16) / 10.764)</f>
        <v>911.63311290181309</v>
      </c>
      <c r="U54" s="11">
        <f t="shared" si="3"/>
        <v>813.23203648689844</v>
      </c>
      <c r="V54" s="10">
        <v>73.11</v>
      </c>
      <c r="W54" s="10">
        <v>48.85</v>
      </c>
      <c r="X54" s="7"/>
    </row>
    <row r="55" spans="1:24" hidden="1" x14ac:dyDescent="0.25">
      <c r="A55" s="7">
        <v>2024</v>
      </c>
      <c r="B55" s="6" t="s">
        <v>63</v>
      </c>
      <c r="C55" s="6" t="s">
        <v>64</v>
      </c>
      <c r="D55" s="6" t="s">
        <v>65</v>
      </c>
      <c r="E55" s="6" t="s">
        <v>25</v>
      </c>
      <c r="F55" s="6" t="s">
        <v>79</v>
      </c>
      <c r="G55" s="6">
        <v>206</v>
      </c>
      <c r="H55" s="6">
        <v>6</v>
      </c>
      <c r="I55" s="6">
        <v>2</v>
      </c>
      <c r="J55" s="6">
        <v>3</v>
      </c>
      <c r="K55" s="6">
        <v>3</v>
      </c>
      <c r="L55" t="s">
        <v>252</v>
      </c>
      <c r="M55" s="8" t="s">
        <v>31</v>
      </c>
      <c r="N55" s="8" t="s">
        <v>58</v>
      </c>
      <c r="O55" s="9" t="s">
        <v>259</v>
      </c>
      <c r="P55" s="6">
        <v>10.17</v>
      </c>
      <c r="Q55" s="6">
        <v>14.6</v>
      </c>
      <c r="R55" s="6">
        <v>40.4</v>
      </c>
      <c r="S55" s="6">
        <v>9.8699999999999992</v>
      </c>
      <c r="T55" s="6">
        <v>6461.83</v>
      </c>
      <c r="U55" s="11">
        <f t="shared" si="3"/>
        <v>5764.3443354148085</v>
      </c>
      <c r="V55" s="6">
        <v>71.94</v>
      </c>
      <c r="W55" s="6">
        <v>50.32</v>
      </c>
      <c r="X55" s="7">
        <v>1</v>
      </c>
    </row>
    <row r="56" spans="1:24" hidden="1" x14ac:dyDescent="0.25">
      <c r="A56" s="7">
        <v>2024</v>
      </c>
      <c r="B56" s="6" t="s">
        <v>90</v>
      </c>
      <c r="C56" s="6" t="s">
        <v>91</v>
      </c>
      <c r="D56" s="6" t="s">
        <v>92</v>
      </c>
      <c r="E56" s="6" t="s">
        <v>26</v>
      </c>
      <c r="F56" s="6" t="s">
        <v>106</v>
      </c>
      <c r="G56" s="6">
        <v>206</v>
      </c>
      <c r="H56" s="6">
        <v>6</v>
      </c>
      <c r="I56" s="6">
        <v>2</v>
      </c>
      <c r="J56" s="6">
        <v>3</v>
      </c>
      <c r="K56" s="6">
        <v>5</v>
      </c>
      <c r="L56" t="s">
        <v>252</v>
      </c>
      <c r="M56" s="8" t="s">
        <v>31</v>
      </c>
      <c r="N56" s="8" t="s">
        <v>62</v>
      </c>
      <c r="O56" s="9" t="s">
        <v>259</v>
      </c>
      <c r="P56" s="7">
        <v>10.199999999999999</v>
      </c>
      <c r="Q56" s="7">
        <v>14.5</v>
      </c>
      <c r="R56" s="7">
        <v>43.6</v>
      </c>
      <c r="S56" s="13">
        <f xml:space="preserve"> P56 * (1 - Q56 / 100) / (1 - 0.12)</f>
        <v>9.9102272727272727</v>
      </c>
      <c r="T56" s="11">
        <f>((10000 * S56 * 12% / 2.205)) / ((4.66 * 16) / 10.764)</f>
        <v>778.617313097693</v>
      </c>
      <c r="U56" s="11">
        <f t="shared" si="3"/>
        <v>694.57387430659503</v>
      </c>
      <c r="V56" s="6">
        <v>74.88</v>
      </c>
      <c r="W56" s="6">
        <v>60.97</v>
      </c>
      <c r="X56" s="7"/>
    </row>
    <row r="57" spans="1:24" hidden="1" x14ac:dyDescent="0.25">
      <c r="A57" s="7">
        <v>2024</v>
      </c>
      <c r="B57" s="6" t="s">
        <v>125</v>
      </c>
      <c r="C57" s="6" t="s">
        <v>126</v>
      </c>
      <c r="D57" s="6" t="s">
        <v>127</v>
      </c>
      <c r="E57" s="8" t="s">
        <v>128</v>
      </c>
      <c r="F57" s="6" t="s">
        <v>149</v>
      </c>
      <c r="G57" s="6">
        <v>206</v>
      </c>
      <c r="H57" s="6">
        <v>6</v>
      </c>
      <c r="I57" s="6">
        <v>3</v>
      </c>
      <c r="J57" s="6">
        <v>2</v>
      </c>
      <c r="K57" s="6">
        <v>5</v>
      </c>
      <c r="L57" t="s">
        <v>252</v>
      </c>
      <c r="M57" s="8" t="s">
        <v>31</v>
      </c>
      <c r="N57" s="8" t="s">
        <v>62</v>
      </c>
      <c r="O57" s="9" t="s">
        <v>259</v>
      </c>
      <c r="P57" s="6">
        <v>10.58</v>
      </c>
      <c r="Q57" s="6">
        <v>11.6</v>
      </c>
      <c r="R57" s="6">
        <v>46.2</v>
      </c>
      <c r="S57" s="13">
        <f xml:space="preserve"> P57 * (1 - Q57 / 100) / (1 - 0.12)</f>
        <v>10.628090909090909</v>
      </c>
      <c r="T57" s="11">
        <f>((10000 * S57 * 12% / 2.205)) / ((4.66 * 16) / 10.764)</f>
        <v>835.01774068972088</v>
      </c>
      <c r="U57" s="11">
        <f t="shared" si="3"/>
        <v>744.88647697566535</v>
      </c>
      <c r="V57" s="10">
        <v>72.86</v>
      </c>
      <c r="W57" s="10">
        <v>47.18</v>
      </c>
      <c r="X57" s="7"/>
    </row>
    <row r="58" spans="1:24" hidden="1" x14ac:dyDescent="0.25">
      <c r="A58" s="7">
        <v>2024</v>
      </c>
      <c r="B58" s="6" t="s">
        <v>125</v>
      </c>
      <c r="C58" s="6" t="s">
        <v>126</v>
      </c>
      <c r="D58" s="6" t="s">
        <v>127</v>
      </c>
      <c r="E58" s="8" t="s">
        <v>128</v>
      </c>
      <c r="F58" s="6" t="s">
        <v>150</v>
      </c>
      <c r="G58" s="6">
        <v>207</v>
      </c>
      <c r="H58" s="6">
        <v>7</v>
      </c>
      <c r="I58" s="6">
        <v>3</v>
      </c>
      <c r="J58" s="6">
        <v>2</v>
      </c>
      <c r="K58" s="6">
        <v>14</v>
      </c>
      <c r="L58" t="s">
        <v>252</v>
      </c>
      <c r="M58" s="8" t="s">
        <v>137</v>
      </c>
      <c r="N58" s="8" t="s">
        <v>61</v>
      </c>
      <c r="O58" s="9" t="s">
        <v>468</v>
      </c>
      <c r="P58" s="6">
        <v>9.9</v>
      </c>
      <c r="Q58" s="6">
        <v>11.6</v>
      </c>
      <c r="R58" s="6">
        <v>44.2</v>
      </c>
      <c r="S58" s="13">
        <f xml:space="preserve"> P58 * (1 - Q58 / 100) / (1 - 0.12)</f>
        <v>9.9450000000000003</v>
      </c>
      <c r="T58" s="11">
        <f>((10000 * S58 * 12% / 2.205)) / ((4.66 * 16) / 10.764)</f>
        <v>781.34930366996582</v>
      </c>
      <c r="U58" s="11">
        <f t="shared" si="3"/>
        <v>697.01097561995164</v>
      </c>
      <c r="V58" s="10">
        <v>72.34</v>
      </c>
      <c r="W58" s="10">
        <v>48.64</v>
      </c>
      <c r="X58" s="7"/>
    </row>
    <row r="59" spans="1:24" hidden="1" x14ac:dyDescent="0.25">
      <c r="A59" s="7">
        <v>2024</v>
      </c>
      <c r="B59" s="6" t="s">
        <v>90</v>
      </c>
      <c r="C59" s="6" t="s">
        <v>91</v>
      </c>
      <c r="D59" s="6" t="s">
        <v>92</v>
      </c>
      <c r="E59" s="6" t="s">
        <v>26</v>
      </c>
      <c r="F59" s="6" t="s">
        <v>107</v>
      </c>
      <c r="G59" s="6">
        <v>207</v>
      </c>
      <c r="H59" s="6">
        <v>7</v>
      </c>
      <c r="I59" s="6">
        <v>2</v>
      </c>
      <c r="J59" s="6">
        <v>4</v>
      </c>
      <c r="K59" s="6">
        <v>1</v>
      </c>
      <c r="L59" t="s">
        <v>252</v>
      </c>
      <c r="M59" s="8" t="s">
        <v>469</v>
      </c>
      <c r="N59" s="8" t="s">
        <v>469</v>
      </c>
      <c r="O59" s="8" t="s">
        <v>469</v>
      </c>
      <c r="P59" s="7">
        <v>8.81</v>
      </c>
      <c r="Q59" s="7">
        <v>15.1</v>
      </c>
      <c r="R59" s="7">
        <v>43.1</v>
      </c>
      <c r="S59" s="13">
        <f xml:space="preserve"> P59 * (1 - Q59 / 100) / (1 - 0.12)</f>
        <v>8.4996477272727287</v>
      </c>
      <c r="T59" s="11">
        <f>((10000 * S59 * 12% / 2.205)) / ((4.66 * 16) / 10.764)</f>
        <v>667.79224063796414</v>
      </c>
      <c r="U59" s="11">
        <f t="shared" si="3"/>
        <v>595.7111870097807</v>
      </c>
      <c r="V59" s="6">
        <v>73.52</v>
      </c>
      <c r="W59" s="6">
        <v>56.13</v>
      </c>
      <c r="X59" s="7"/>
    </row>
    <row r="60" spans="1:24" hidden="1" x14ac:dyDescent="0.25">
      <c r="A60" s="7">
        <v>2024</v>
      </c>
      <c r="B60" s="6" t="s">
        <v>63</v>
      </c>
      <c r="C60" s="6" t="s">
        <v>64</v>
      </c>
      <c r="D60" s="6" t="s">
        <v>65</v>
      </c>
      <c r="E60" s="6" t="s">
        <v>25</v>
      </c>
      <c r="F60" s="6" t="s">
        <v>80</v>
      </c>
      <c r="G60" s="6">
        <v>207</v>
      </c>
      <c r="H60" s="6">
        <v>7</v>
      </c>
      <c r="I60" s="6">
        <v>2</v>
      </c>
      <c r="J60" s="6">
        <v>3</v>
      </c>
      <c r="K60" s="6">
        <v>6</v>
      </c>
      <c r="L60" t="s">
        <v>252</v>
      </c>
      <c r="M60" s="8" t="s">
        <v>31</v>
      </c>
      <c r="N60" s="8" t="s">
        <v>59</v>
      </c>
      <c r="O60" s="9" t="s">
        <v>259</v>
      </c>
      <c r="P60" s="6">
        <v>9.61</v>
      </c>
      <c r="Q60" s="6">
        <v>14.7</v>
      </c>
      <c r="R60" s="6">
        <v>40.6</v>
      </c>
      <c r="S60" s="6">
        <v>9.32</v>
      </c>
      <c r="T60" s="6">
        <v>6098.86</v>
      </c>
      <c r="U60" s="11">
        <f t="shared" si="3"/>
        <v>5440.5530776092774</v>
      </c>
      <c r="V60" s="6">
        <v>71.12</v>
      </c>
      <c r="W60" s="6">
        <v>50.74</v>
      </c>
      <c r="X60" s="7">
        <v>0</v>
      </c>
    </row>
    <row r="61" spans="1:24" hidden="1" x14ac:dyDescent="0.25">
      <c r="A61" s="7">
        <v>2024</v>
      </c>
      <c r="B61" s="6" t="s">
        <v>125</v>
      </c>
      <c r="C61" s="6" t="s">
        <v>126</v>
      </c>
      <c r="D61" s="6" t="s">
        <v>127</v>
      </c>
      <c r="E61" s="8" t="s">
        <v>128</v>
      </c>
      <c r="F61" s="6" t="s">
        <v>151</v>
      </c>
      <c r="G61" s="6">
        <v>208</v>
      </c>
      <c r="H61" s="6">
        <v>1</v>
      </c>
      <c r="I61" s="6">
        <v>4</v>
      </c>
      <c r="J61" s="6">
        <v>2</v>
      </c>
      <c r="K61" s="6">
        <v>11</v>
      </c>
      <c r="L61" t="s">
        <v>252</v>
      </c>
      <c r="M61" s="8" t="s">
        <v>137</v>
      </c>
      <c r="N61" s="8" t="s">
        <v>60</v>
      </c>
      <c r="O61" s="9" t="s">
        <v>468</v>
      </c>
      <c r="P61" s="6">
        <v>9.8800000000000008</v>
      </c>
      <c r="Q61" s="6">
        <v>10.8</v>
      </c>
      <c r="R61" s="6">
        <v>45.8</v>
      </c>
      <c r="S61" s="13">
        <f xml:space="preserve"> P61 * (1 - Q61 / 100) / (1 - 0.12)</f>
        <v>10.014727272727272</v>
      </c>
      <c r="T61" s="11">
        <f>((10000 * S61 * 12% / 2.205)) / ((4.66 * 16) / 10.764)</f>
        <v>786.82756973253595</v>
      </c>
      <c r="U61" s="11">
        <f t="shared" si="3"/>
        <v>701.89792126006773</v>
      </c>
      <c r="V61" s="10">
        <v>72.73</v>
      </c>
      <c r="W61" s="10">
        <v>47.39</v>
      </c>
      <c r="X61" s="7"/>
    </row>
    <row r="62" spans="1:24" hidden="1" x14ac:dyDescent="0.25">
      <c r="A62" s="7">
        <v>2024</v>
      </c>
      <c r="B62" s="6" t="s">
        <v>63</v>
      </c>
      <c r="C62" s="6" t="s">
        <v>64</v>
      </c>
      <c r="D62" s="6" t="s">
        <v>65</v>
      </c>
      <c r="E62" s="6" t="s">
        <v>25</v>
      </c>
      <c r="F62" s="6" t="s">
        <v>81</v>
      </c>
      <c r="G62" s="6">
        <v>208</v>
      </c>
      <c r="H62" s="6">
        <v>8</v>
      </c>
      <c r="I62" s="6">
        <v>2</v>
      </c>
      <c r="J62" s="6">
        <v>3</v>
      </c>
      <c r="K62" s="6">
        <v>2</v>
      </c>
      <c r="L62" t="s">
        <v>252</v>
      </c>
      <c r="M62" s="8" t="s">
        <v>31</v>
      </c>
      <c r="N62" s="8" t="s">
        <v>57</v>
      </c>
      <c r="O62" s="9" t="s">
        <v>259</v>
      </c>
      <c r="P62" s="6">
        <v>8.7200000000000006</v>
      </c>
      <c r="Q62" s="6">
        <v>14.4</v>
      </c>
      <c r="R62" s="6">
        <v>40.700000000000003</v>
      </c>
      <c r="S62" s="6">
        <v>8.48</v>
      </c>
      <c r="T62" s="6">
        <v>5553.5</v>
      </c>
      <c r="U62" s="11">
        <f t="shared" si="3"/>
        <v>4954.058876003568</v>
      </c>
      <c r="V62" s="6">
        <v>71.69</v>
      </c>
      <c r="W62" s="6">
        <v>49.62</v>
      </c>
      <c r="X62" s="7">
        <v>1</v>
      </c>
    </row>
    <row r="63" spans="1:24" hidden="1" x14ac:dyDescent="0.25">
      <c r="A63" s="7">
        <v>2024</v>
      </c>
      <c r="B63" s="6" t="s">
        <v>90</v>
      </c>
      <c r="C63" s="6" t="s">
        <v>91</v>
      </c>
      <c r="D63" s="6" t="s">
        <v>92</v>
      </c>
      <c r="E63" s="6" t="s">
        <v>26</v>
      </c>
      <c r="F63" s="6" t="s">
        <v>108</v>
      </c>
      <c r="G63" s="6">
        <v>208</v>
      </c>
      <c r="H63" s="6">
        <v>8</v>
      </c>
      <c r="I63" s="6">
        <v>2</v>
      </c>
      <c r="J63" s="6">
        <v>4</v>
      </c>
      <c r="K63" s="6">
        <v>5</v>
      </c>
      <c r="L63" t="s">
        <v>252</v>
      </c>
      <c r="M63" s="8" t="s">
        <v>31</v>
      </c>
      <c r="N63" s="8" t="s">
        <v>62</v>
      </c>
      <c r="O63" s="9" t="s">
        <v>259</v>
      </c>
      <c r="P63" s="7">
        <v>10.01</v>
      </c>
      <c r="Q63" s="7">
        <v>15</v>
      </c>
      <c r="R63" s="7">
        <v>43.3</v>
      </c>
      <c r="S63" s="13">
        <f t="shared" ref="S63:S70" si="4" xml:space="preserve"> P63 * (1 - Q63 / 100) / (1 - 0.12)</f>
        <v>9.6687499999999993</v>
      </c>
      <c r="T63" s="11">
        <f t="shared" ref="T63:T70" si="5">((10000 * S63 * 12% / 2.205)) / ((4.66 * 16) / 10.764)</f>
        <v>759.64515634580005</v>
      </c>
      <c r="U63" s="11">
        <f t="shared" si="3"/>
        <v>677.64955963050852</v>
      </c>
      <c r="V63" s="6">
        <v>74.08</v>
      </c>
      <c r="W63" s="6">
        <v>58.88</v>
      </c>
      <c r="X63" s="7"/>
    </row>
    <row r="64" spans="1:24" hidden="1" x14ac:dyDescent="0.25">
      <c r="A64" s="7">
        <v>2024</v>
      </c>
      <c r="B64" s="6" t="s">
        <v>125</v>
      </c>
      <c r="C64" s="6" t="s">
        <v>126</v>
      </c>
      <c r="D64" s="6" t="s">
        <v>127</v>
      </c>
      <c r="E64" s="8" t="s">
        <v>128</v>
      </c>
      <c r="F64" s="6" t="s">
        <v>152</v>
      </c>
      <c r="G64" s="6">
        <v>209</v>
      </c>
      <c r="H64" s="6">
        <v>2</v>
      </c>
      <c r="I64" s="6">
        <v>4</v>
      </c>
      <c r="J64" s="6">
        <v>2</v>
      </c>
      <c r="K64" s="6">
        <v>10</v>
      </c>
      <c r="L64" t="s">
        <v>252</v>
      </c>
      <c r="M64" s="8" t="s">
        <v>137</v>
      </c>
      <c r="N64" s="8" t="s">
        <v>58</v>
      </c>
      <c r="O64" s="9" t="s">
        <v>468</v>
      </c>
      <c r="P64" s="6">
        <v>10.02</v>
      </c>
      <c r="Q64" s="6">
        <v>11</v>
      </c>
      <c r="R64" s="6">
        <v>43.8</v>
      </c>
      <c r="S64" s="13">
        <f t="shared" si="4"/>
        <v>10.133863636363635</v>
      </c>
      <c r="T64" s="11">
        <f t="shared" si="5"/>
        <v>796.18776226838747</v>
      </c>
      <c r="U64" s="11">
        <f t="shared" si="3"/>
        <v>710.24778079249552</v>
      </c>
      <c r="V64" s="10">
        <v>72.78</v>
      </c>
      <c r="W64" s="10">
        <v>47.58</v>
      </c>
      <c r="X64" s="7"/>
    </row>
    <row r="65" spans="1:24" hidden="1" x14ac:dyDescent="0.25">
      <c r="A65" s="7">
        <v>2024</v>
      </c>
      <c r="B65" s="6" t="s">
        <v>125</v>
      </c>
      <c r="C65" s="6" t="s">
        <v>126</v>
      </c>
      <c r="D65" s="6" t="s">
        <v>127</v>
      </c>
      <c r="E65" s="8" t="s">
        <v>128</v>
      </c>
      <c r="F65" s="6" t="s">
        <v>153</v>
      </c>
      <c r="G65" s="6">
        <v>210</v>
      </c>
      <c r="H65" s="6">
        <v>3</v>
      </c>
      <c r="I65" s="6">
        <v>4</v>
      </c>
      <c r="J65" s="6">
        <v>2</v>
      </c>
      <c r="K65" s="6">
        <v>9</v>
      </c>
      <c r="L65" t="s">
        <v>252</v>
      </c>
      <c r="M65" s="8" t="s">
        <v>137</v>
      </c>
      <c r="N65" s="8" t="s">
        <v>57</v>
      </c>
      <c r="O65" s="9" t="s">
        <v>468</v>
      </c>
      <c r="P65" s="6">
        <v>8.85</v>
      </c>
      <c r="Q65" s="6">
        <v>11.2</v>
      </c>
      <c r="R65" s="6">
        <v>44.3</v>
      </c>
      <c r="S65" s="13">
        <f t="shared" si="4"/>
        <v>8.9304545454545448</v>
      </c>
      <c r="T65" s="11">
        <f t="shared" si="5"/>
        <v>701.63946109071787</v>
      </c>
      <c r="U65" s="11">
        <f t="shared" si="3"/>
        <v>625.90496083025675</v>
      </c>
      <c r="V65" s="10">
        <v>72.400000000000006</v>
      </c>
      <c r="W65" s="10">
        <v>49.12</v>
      </c>
      <c r="X65" s="7"/>
    </row>
    <row r="66" spans="1:24" hidden="1" x14ac:dyDescent="0.25">
      <c r="A66" s="7">
        <v>2024</v>
      </c>
      <c r="B66" s="6" t="s">
        <v>125</v>
      </c>
      <c r="C66" s="6" t="s">
        <v>126</v>
      </c>
      <c r="D66" s="6" t="s">
        <v>127</v>
      </c>
      <c r="E66" s="8" t="s">
        <v>128</v>
      </c>
      <c r="F66" s="6" t="s">
        <v>154</v>
      </c>
      <c r="G66" s="6">
        <v>211</v>
      </c>
      <c r="H66" s="6">
        <v>4</v>
      </c>
      <c r="I66" s="6">
        <v>4</v>
      </c>
      <c r="J66" s="6">
        <v>2</v>
      </c>
      <c r="K66" s="6">
        <v>6</v>
      </c>
      <c r="L66" t="s">
        <v>252</v>
      </c>
      <c r="M66" s="8" t="s">
        <v>31</v>
      </c>
      <c r="N66" s="8" t="s">
        <v>59</v>
      </c>
      <c r="O66" s="9" t="s">
        <v>259</v>
      </c>
      <c r="P66" s="6">
        <v>9.23</v>
      </c>
      <c r="Q66" s="6">
        <v>11.7</v>
      </c>
      <c r="R66" s="6">
        <v>44.3</v>
      </c>
      <c r="S66" s="13">
        <f t="shared" si="4"/>
        <v>9.2614659090909104</v>
      </c>
      <c r="T66" s="11">
        <f t="shared" si="5"/>
        <v>727.64604716252472</v>
      </c>
      <c r="U66" s="11">
        <f t="shared" si="3"/>
        <v>649.10441316906758</v>
      </c>
      <c r="V66" s="10">
        <v>72.17</v>
      </c>
      <c r="W66" s="10">
        <v>45.74</v>
      </c>
      <c r="X66" s="7"/>
    </row>
    <row r="67" spans="1:24" hidden="1" x14ac:dyDescent="0.25">
      <c r="A67" s="7">
        <v>2024</v>
      </c>
      <c r="B67" s="6" t="s">
        <v>125</v>
      </c>
      <c r="C67" s="6" t="s">
        <v>126</v>
      </c>
      <c r="D67" s="6" t="s">
        <v>127</v>
      </c>
      <c r="E67" s="8" t="s">
        <v>128</v>
      </c>
      <c r="F67" s="6" t="s">
        <v>155</v>
      </c>
      <c r="G67" s="6">
        <v>212</v>
      </c>
      <c r="H67" s="6">
        <v>5</v>
      </c>
      <c r="I67" s="6">
        <v>4</v>
      </c>
      <c r="J67" s="6">
        <v>2</v>
      </c>
      <c r="K67" s="6">
        <v>8</v>
      </c>
      <c r="L67" t="s">
        <v>252</v>
      </c>
      <c r="M67" s="8" t="s">
        <v>33</v>
      </c>
      <c r="N67" s="8" t="s">
        <v>58</v>
      </c>
      <c r="O67" s="9" t="s">
        <v>467</v>
      </c>
      <c r="P67" s="6">
        <v>10.44</v>
      </c>
      <c r="Q67" s="6">
        <v>10.7</v>
      </c>
      <c r="R67" s="6">
        <v>44.3</v>
      </c>
      <c r="S67" s="13">
        <f t="shared" si="4"/>
        <v>10.594227272727272</v>
      </c>
      <c r="T67" s="11">
        <f t="shared" si="5"/>
        <v>832.35717470757299</v>
      </c>
      <c r="U67" s="11">
        <f t="shared" ref="U67:U98" si="6">T67/1.121</f>
        <v>742.51309072932474</v>
      </c>
      <c r="V67" s="10">
        <v>72.849999999999994</v>
      </c>
      <c r="W67" s="10">
        <v>44.11</v>
      </c>
      <c r="X67" s="7"/>
    </row>
    <row r="68" spans="1:24" hidden="1" x14ac:dyDescent="0.25">
      <c r="A68" s="7">
        <v>2024</v>
      </c>
      <c r="B68" s="6" t="s">
        <v>125</v>
      </c>
      <c r="C68" s="6" t="s">
        <v>126</v>
      </c>
      <c r="D68" s="6" t="s">
        <v>127</v>
      </c>
      <c r="E68" s="8" t="s">
        <v>128</v>
      </c>
      <c r="F68" s="6" t="s">
        <v>156</v>
      </c>
      <c r="G68" s="6">
        <v>213</v>
      </c>
      <c r="H68" s="6">
        <v>6</v>
      </c>
      <c r="I68" s="6">
        <v>4</v>
      </c>
      <c r="J68" s="6">
        <v>2</v>
      </c>
      <c r="K68" s="6">
        <v>3</v>
      </c>
      <c r="L68" t="s">
        <v>252</v>
      </c>
      <c r="M68" s="8" t="s">
        <v>31</v>
      </c>
      <c r="N68" s="8" t="s">
        <v>58</v>
      </c>
      <c r="O68" s="9" t="s">
        <v>259</v>
      </c>
      <c r="P68" s="6">
        <v>8.94</v>
      </c>
      <c r="Q68" s="6">
        <v>10.7</v>
      </c>
      <c r="R68" s="6">
        <v>44</v>
      </c>
      <c r="S68" s="13">
        <f t="shared" si="4"/>
        <v>9.0720681818181816</v>
      </c>
      <c r="T68" s="11">
        <f t="shared" si="5"/>
        <v>712.76562661740468</v>
      </c>
      <c r="U68" s="11">
        <f t="shared" si="6"/>
        <v>635.83017539465186</v>
      </c>
      <c r="V68" s="10">
        <v>72.48</v>
      </c>
      <c r="W68" s="10">
        <v>44.39</v>
      </c>
      <c r="X68" s="7"/>
    </row>
    <row r="69" spans="1:24" hidden="1" x14ac:dyDescent="0.25">
      <c r="A69" s="7">
        <v>2024</v>
      </c>
      <c r="B69" s="6" t="s">
        <v>125</v>
      </c>
      <c r="C69" s="6" t="s">
        <v>126</v>
      </c>
      <c r="D69" s="6" t="s">
        <v>127</v>
      </c>
      <c r="E69" s="8" t="s">
        <v>128</v>
      </c>
      <c r="F69" s="6" t="s">
        <v>157</v>
      </c>
      <c r="G69" s="6">
        <v>214</v>
      </c>
      <c r="H69" s="6">
        <v>7</v>
      </c>
      <c r="I69" s="6">
        <v>4</v>
      </c>
      <c r="J69" s="6">
        <v>2</v>
      </c>
      <c r="K69" s="6">
        <v>1</v>
      </c>
      <c r="L69" t="s">
        <v>252</v>
      </c>
      <c r="M69" s="8" t="s">
        <v>469</v>
      </c>
      <c r="N69" s="8" t="s">
        <v>469</v>
      </c>
      <c r="O69" s="8" t="s">
        <v>469</v>
      </c>
      <c r="P69" s="6">
        <v>8.49</v>
      </c>
      <c r="Q69" s="6">
        <v>10.7</v>
      </c>
      <c r="R69" s="6">
        <v>44.6</v>
      </c>
      <c r="S69" s="13">
        <f t="shared" si="4"/>
        <v>8.615420454545454</v>
      </c>
      <c r="T69" s="11">
        <f t="shared" si="5"/>
        <v>676.88816219035414</v>
      </c>
      <c r="U69" s="11">
        <f t="shared" si="6"/>
        <v>603.82530079424987</v>
      </c>
      <c r="V69" s="10">
        <v>71.849999999999994</v>
      </c>
      <c r="W69" s="10">
        <v>43.08</v>
      </c>
      <c r="X69" s="7"/>
    </row>
    <row r="70" spans="1:24" hidden="1" x14ac:dyDescent="0.25">
      <c r="A70" s="7">
        <v>2024</v>
      </c>
      <c r="B70" s="6" t="s">
        <v>125</v>
      </c>
      <c r="C70" s="6" t="s">
        <v>126</v>
      </c>
      <c r="D70" s="6" t="s">
        <v>127</v>
      </c>
      <c r="E70" s="8" t="s">
        <v>128</v>
      </c>
      <c r="F70" s="6" t="s">
        <v>158</v>
      </c>
      <c r="G70" s="6">
        <v>301</v>
      </c>
      <c r="H70" s="6">
        <v>1</v>
      </c>
      <c r="I70" s="6">
        <v>5</v>
      </c>
      <c r="J70" s="6">
        <v>3</v>
      </c>
      <c r="K70" s="6">
        <v>1</v>
      </c>
      <c r="L70" t="s">
        <v>252</v>
      </c>
      <c r="M70" s="8" t="s">
        <v>469</v>
      </c>
      <c r="N70" s="8" t="s">
        <v>469</v>
      </c>
      <c r="O70" s="8" t="s">
        <v>469</v>
      </c>
      <c r="P70" s="6">
        <v>10.77</v>
      </c>
      <c r="Q70" s="6">
        <v>11.4</v>
      </c>
      <c r="R70" s="6">
        <v>43.9</v>
      </c>
      <c r="S70" s="13">
        <f t="shared" si="4"/>
        <v>10.843431818181818</v>
      </c>
      <c r="T70" s="11">
        <f t="shared" si="5"/>
        <v>851.93644047552687</v>
      </c>
      <c r="U70" s="11">
        <f t="shared" si="6"/>
        <v>759.97898347504622</v>
      </c>
      <c r="V70" s="10">
        <v>72.48</v>
      </c>
      <c r="W70" s="10">
        <v>46.07</v>
      </c>
      <c r="X70" s="7"/>
    </row>
    <row r="71" spans="1:24" x14ac:dyDescent="0.25">
      <c r="A71" s="7">
        <v>2024</v>
      </c>
      <c r="B71" s="6" t="s">
        <v>27</v>
      </c>
      <c r="C71" s="6" t="s">
        <v>28</v>
      </c>
      <c r="D71" s="6" t="s">
        <v>29</v>
      </c>
      <c r="E71" s="6" t="s">
        <v>24</v>
      </c>
      <c r="F71" s="6" t="s">
        <v>40</v>
      </c>
      <c r="G71" s="6">
        <v>301</v>
      </c>
      <c r="H71" s="6">
        <v>1</v>
      </c>
      <c r="I71" s="6">
        <v>3</v>
      </c>
      <c r="J71" s="6">
        <v>1</v>
      </c>
      <c r="K71" s="6">
        <v>4</v>
      </c>
      <c r="L71" t="s">
        <v>23</v>
      </c>
      <c r="M71" s="8" t="s">
        <v>31</v>
      </c>
      <c r="N71" s="8" t="s">
        <v>60</v>
      </c>
      <c r="O71" s="9" t="s">
        <v>259</v>
      </c>
      <c r="P71" s="6">
        <v>11.36</v>
      </c>
      <c r="Q71" s="6">
        <v>16.899999999999999</v>
      </c>
      <c r="R71" s="6">
        <v>43.1</v>
      </c>
      <c r="S71" s="6">
        <v>10.73</v>
      </c>
      <c r="T71" s="6">
        <v>7023.54</v>
      </c>
      <c r="U71" s="11">
        <f t="shared" si="6"/>
        <v>6265.4237288135591</v>
      </c>
      <c r="V71" s="6">
        <v>72.38</v>
      </c>
      <c r="W71" s="6">
        <v>53.44</v>
      </c>
      <c r="X71" s="7">
        <v>1</v>
      </c>
    </row>
    <row r="72" spans="1:24" hidden="1" x14ac:dyDescent="0.25">
      <c r="A72" s="7">
        <v>2024</v>
      </c>
      <c r="B72" s="6" t="s">
        <v>63</v>
      </c>
      <c r="C72" s="6" t="s">
        <v>64</v>
      </c>
      <c r="D72" s="6" t="s">
        <v>65</v>
      </c>
      <c r="E72" s="6" t="s">
        <v>25</v>
      </c>
      <c r="F72" s="6" t="s">
        <v>82</v>
      </c>
      <c r="G72" s="6">
        <v>301</v>
      </c>
      <c r="H72" s="6">
        <v>1</v>
      </c>
      <c r="I72" s="6">
        <v>3</v>
      </c>
      <c r="J72" s="6">
        <v>1</v>
      </c>
      <c r="K72" s="6">
        <v>5</v>
      </c>
      <c r="L72" t="s">
        <v>252</v>
      </c>
      <c r="M72" s="8" t="s">
        <v>31</v>
      </c>
      <c r="N72" s="8" t="s">
        <v>62</v>
      </c>
      <c r="O72" s="9" t="s">
        <v>259</v>
      </c>
      <c r="P72" s="6">
        <v>6.8</v>
      </c>
      <c r="Q72" s="6">
        <v>15</v>
      </c>
      <c r="R72" s="6">
        <v>35.700000000000003</v>
      </c>
      <c r="S72" s="6">
        <v>6.57</v>
      </c>
      <c r="T72" s="6">
        <v>4300.3599999999997</v>
      </c>
      <c r="U72" s="11">
        <f t="shared" si="6"/>
        <v>3836.1819803746653</v>
      </c>
      <c r="V72" s="6">
        <v>65.52</v>
      </c>
      <c r="W72" s="6">
        <v>39.619999999999997</v>
      </c>
      <c r="X72" s="7">
        <v>1</v>
      </c>
    </row>
    <row r="73" spans="1:24" hidden="1" x14ac:dyDescent="0.25">
      <c r="A73" s="7">
        <v>2024</v>
      </c>
      <c r="B73" s="6" t="s">
        <v>90</v>
      </c>
      <c r="C73" s="6" t="s">
        <v>91</v>
      </c>
      <c r="D73" s="6" t="s">
        <v>92</v>
      </c>
      <c r="E73" s="6" t="s">
        <v>26</v>
      </c>
      <c r="F73" s="6" t="s">
        <v>109</v>
      </c>
      <c r="G73" s="6">
        <v>301</v>
      </c>
      <c r="H73" s="6">
        <v>1</v>
      </c>
      <c r="I73" s="6">
        <v>3</v>
      </c>
      <c r="J73" s="6">
        <v>1</v>
      </c>
      <c r="K73" s="6">
        <v>3</v>
      </c>
      <c r="L73" t="s">
        <v>252</v>
      </c>
      <c r="M73" s="8" t="s">
        <v>31</v>
      </c>
      <c r="N73" s="8" t="s">
        <v>58</v>
      </c>
      <c r="O73" s="9" t="s">
        <v>259</v>
      </c>
      <c r="P73" s="7">
        <v>9.34</v>
      </c>
      <c r="Q73" s="7">
        <v>16.100000000000001</v>
      </c>
      <c r="R73" s="7">
        <v>43</v>
      </c>
      <c r="S73" s="13">
        <f xml:space="preserve"> P73 * (1 - Q73 / 100) / (1 - 0.12)</f>
        <v>8.9048409090909075</v>
      </c>
      <c r="T73" s="11">
        <f>((10000 * S73 * 12% / 2.205)) / ((4.66 * 16) / 10.764)</f>
        <v>699.62707326395218</v>
      </c>
      <c r="U73" s="11">
        <f t="shared" si="6"/>
        <v>624.1097888170849</v>
      </c>
      <c r="V73" s="6">
        <v>73.989999999999995</v>
      </c>
      <c r="W73" s="6">
        <v>59.49</v>
      </c>
      <c r="X73" s="7"/>
    </row>
    <row r="74" spans="1:24" hidden="1" x14ac:dyDescent="0.25">
      <c r="A74" s="7">
        <v>2024</v>
      </c>
      <c r="B74" s="6" t="s">
        <v>125</v>
      </c>
      <c r="C74" s="6" t="s">
        <v>126</v>
      </c>
      <c r="D74" s="6" t="s">
        <v>127</v>
      </c>
      <c r="E74" s="8" t="s">
        <v>128</v>
      </c>
      <c r="F74" s="6" t="s">
        <v>159</v>
      </c>
      <c r="G74" s="6">
        <v>302</v>
      </c>
      <c r="H74" s="6">
        <v>2</v>
      </c>
      <c r="I74" s="6">
        <v>5</v>
      </c>
      <c r="J74" s="6">
        <v>3</v>
      </c>
      <c r="K74" s="6">
        <v>14</v>
      </c>
      <c r="L74" t="s">
        <v>252</v>
      </c>
      <c r="M74" s="8" t="s">
        <v>137</v>
      </c>
      <c r="N74" s="8" t="s">
        <v>61</v>
      </c>
      <c r="O74" s="9" t="s">
        <v>468</v>
      </c>
      <c r="P74" s="6">
        <v>11.74</v>
      </c>
      <c r="Q74" s="6">
        <v>12.2</v>
      </c>
      <c r="R74" s="6">
        <v>44.3</v>
      </c>
      <c r="S74" s="13">
        <f xml:space="preserve"> P74 * (1 - Q74 / 100) / (1 - 0.12)</f>
        <v>11.713318181818181</v>
      </c>
      <c r="T74" s="11">
        <f>((10000 * S74 * 12% / 2.205)) / ((4.66 * 16) / 10.764)</f>
        <v>920.28084515116996</v>
      </c>
      <c r="U74" s="11">
        <f t="shared" si="6"/>
        <v>820.94633822584296</v>
      </c>
      <c r="V74" s="10">
        <v>72.19</v>
      </c>
      <c r="W74" s="10">
        <v>50.3</v>
      </c>
      <c r="X74" s="7"/>
    </row>
    <row r="75" spans="1:24" x14ac:dyDescent="0.25">
      <c r="A75" s="7">
        <v>2024</v>
      </c>
      <c r="B75" s="6" t="s">
        <v>27</v>
      </c>
      <c r="C75" s="6" t="s">
        <v>28</v>
      </c>
      <c r="D75" s="6" t="s">
        <v>29</v>
      </c>
      <c r="E75" s="6" t="s">
        <v>24</v>
      </c>
      <c r="F75" s="6" t="s">
        <v>41</v>
      </c>
      <c r="G75" s="6">
        <v>302</v>
      </c>
      <c r="H75" s="6">
        <v>2</v>
      </c>
      <c r="I75" s="6">
        <v>3</v>
      </c>
      <c r="J75" s="6">
        <v>2</v>
      </c>
      <c r="K75" s="6">
        <v>4</v>
      </c>
      <c r="L75" t="s">
        <v>23</v>
      </c>
      <c r="M75" s="8" t="s">
        <v>31</v>
      </c>
      <c r="N75" s="8" t="s">
        <v>60</v>
      </c>
      <c r="O75" s="9" t="s">
        <v>259</v>
      </c>
      <c r="P75" s="6">
        <v>10.72</v>
      </c>
      <c r="Q75" s="6">
        <v>16.600000000000001</v>
      </c>
      <c r="R75" s="6">
        <v>43.2</v>
      </c>
      <c r="S75" s="6">
        <v>10.16</v>
      </c>
      <c r="T75" s="6">
        <v>6651.77</v>
      </c>
      <c r="U75" s="11">
        <f t="shared" si="6"/>
        <v>5933.7823371989298</v>
      </c>
      <c r="V75" s="6">
        <v>71.63</v>
      </c>
      <c r="W75" s="6">
        <v>51.16</v>
      </c>
      <c r="X75" s="7">
        <v>0</v>
      </c>
    </row>
    <row r="76" spans="1:24" hidden="1" x14ac:dyDescent="0.25">
      <c r="A76" s="7">
        <v>2024</v>
      </c>
      <c r="B76" s="6" t="s">
        <v>63</v>
      </c>
      <c r="C76" s="6" t="s">
        <v>64</v>
      </c>
      <c r="D76" s="6" t="s">
        <v>65</v>
      </c>
      <c r="E76" s="6" t="s">
        <v>25</v>
      </c>
      <c r="F76" s="6" t="s">
        <v>83</v>
      </c>
      <c r="G76" s="6">
        <v>302</v>
      </c>
      <c r="H76" s="6">
        <v>2</v>
      </c>
      <c r="I76" s="6">
        <v>3</v>
      </c>
      <c r="J76" s="6">
        <v>1</v>
      </c>
      <c r="K76" s="6">
        <v>3</v>
      </c>
      <c r="L76" t="s">
        <v>252</v>
      </c>
      <c r="M76" s="8" t="s">
        <v>31</v>
      </c>
      <c r="N76" s="8" t="s">
        <v>58</v>
      </c>
      <c r="O76" s="9" t="s">
        <v>259</v>
      </c>
      <c r="P76" s="6">
        <v>7.51</v>
      </c>
      <c r="Q76" s="6">
        <v>15</v>
      </c>
      <c r="R76" s="6">
        <v>35.6</v>
      </c>
      <c r="S76" s="6">
        <v>7.25</v>
      </c>
      <c r="T76" s="6">
        <v>4749.3599999999997</v>
      </c>
      <c r="U76" s="11">
        <f t="shared" si="6"/>
        <v>4236.7172167707404</v>
      </c>
      <c r="V76" s="6">
        <v>67.66</v>
      </c>
      <c r="W76" s="6">
        <v>42.11</v>
      </c>
      <c r="X76" s="7">
        <v>1</v>
      </c>
    </row>
    <row r="77" spans="1:24" hidden="1" x14ac:dyDescent="0.25">
      <c r="A77" s="7">
        <v>2024</v>
      </c>
      <c r="B77" s="6" t="s">
        <v>90</v>
      </c>
      <c r="C77" s="6" t="s">
        <v>91</v>
      </c>
      <c r="D77" s="6" t="s">
        <v>92</v>
      </c>
      <c r="E77" s="6" t="s">
        <v>26</v>
      </c>
      <c r="F77" s="6" t="s">
        <v>110</v>
      </c>
      <c r="G77" s="6">
        <v>302</v>
      </c>
      <c r="H77" s="6">
        <v>2</v>
      </c>
      <c r="I77" s="6">
        <v>3</v>
      </c>
      <c r="J77" s="6">
        <v>1</v>
      </c>
      <c r="K77" s="6">
        <v>6</v>
      </c>
      <c r="L77" t="s">
        <v>252</v>
      </c>
      <c r="M77" s="8" t="s">
        <v>31</v>
      </c>
      <c r="N77" s="8" t="s">
        <v>59</v>
      </c>
      <c r="O77" s="9" t="s">
        <v>259</v>
      </c>
      <c r="P77" s="7">
        <v>10.16</v>
      </c>
      <c r="Q77" s="7">
        <v>13.9</v>
      </c>
      <c r="R77" s="7">
        <v>43.9</v>
      </c>
      <c r="S77" s="13">
        <f xml:space="preserve"> P77 * (1 - Q77 / 100) / (1 - 0.12)</f>
        <v>9.9406363636363633</v>
      </c>
      <c r="T77" s="11">
        <f>((10000 * S77 * 12% / 2.205)) / ((4.66 * 16) / 10.764)</f>
        <v>781.00646563736677</v>
      </c>
      <c r="U77" s="11">
        <f t="shared" si="6"/>
        <v>696.7051432982754</v>
      </c>
      <c r="V77" s="6">
        <v>74.150000000000006</v>
      </c>
      <c r="W77" s="6">
        <v>60.75</v>
      </c>
      <c r="X77" s="7"/>
    </row>
    <row r="78" spans="1:24" x14ac:dyDescent="0.25">
      <c r="A78" s="7">
        <v>2024</v>
      </c>
      <c r="B78" s="6" t="s">
        <v>27</v>
      </c>
      <c r="C78" s="6" t="s">
        <v>28</v>
      </c>
      <c r="D78" s="6" t="s">
        <v>29</v>
      </c>
      <c r="E78" s="6" t="s">
        <v>24</v>
      </c>
      <c r="F78" s="6" t="s">
        <v>42</v>
      </c>
      <c r="G78" s="6">
        <v>303</v>
      </c>
      <c r="H78" s="6">
        <v>3</v>
      </c>
      <c r="I78" s="6">
        <v>3</v>
      </c>
      <c r="J78" s="6">
        <v>2</v>
      </c>
      <c r="K78" s="6">
        <v>7</v>
      </c>
      <c r="L78" t="s">
        <v>23</v>
      </c>
      <c r="M78" s="8" t="s">
        <v>31</v>
      </c>
      <c r="N78" s="8" t="s">
        <v>61</v>
      </c>
      <c r="O78" s="9" t="s">
        <v>259</v>
      </c>
      <c r="P78" s="6">
        <v>11.24</v>
      </c>
      <c r="Q78" s="6">
        <v>17.100000000000001</v>
      </c>
      <c r="R78" s="6">
        <v>43.1</v>
      </c>
      <c r="S78" s="6">
        <v>10.59</v>
      </c>
      <c r="T78" s="6">
        <v>6932.62</v>
      </c>
      <c r="U78" s="11">
        <f t="shared" si="6"/>
        <v>6184.3175735950044</v>
      </c>
      <c r="V78" s="6">
        <v>72.55</v>
      </c>
      <c r="W78" s="6">
        <v>55.17</v>
      </c>
      <c r="X78" s="7">
        <v>0</v>
      </c>
    </row>
    <row r="79" spans="1:24" hidden="1" x14ac:dyDescent="0.25">
      <c r="A79" s="7">
        <v>2024</v>
      </c>
      <c r="B79" s="6" t="s">
        <v>63</v>
      </c>
      <c r="C79" s="6" t="s">
        <v>64</v>
      </c>
      <c r="D79" s="6" t="s">
        <v>65</v>
      </c>
      <c r="E79" s="6" t="s">
        <v>25</v>
      </c>
      <c r="F79" s="6" t="s">
        <v>84</v>
      </c>
      <c r="G79" s="6">
        <v>303</v>
      </c>
      <c r="H79" s="6">
        <v>3</v>
      </c>
      <c r="I79" s="6">
        <v>3</v>
      </c>
      <c r="J79" s="6">
        <v>2</v>
      </c>
      <c r="K79" s="6">
        <v>3</v>
      </c>
      <c r="L79" t="s">
        <v>252</v>
      </c>
      <c r="M79" s="8" t="s">
        <v>31</v>
      </c>
      <c r="N79" s="8" t="s">
        <v>58</v>
      </c>
      <c r="O79" s="9" t="s">
        <v>259</v>
      </c>
      <c r="P79" s="6">
        <v>8.42</v>
      </c>
      <c r="Q79" s="6">
        <v>14.5</v>
      </c>
      <c r="R79" s="6">
        <v>37.9</v>
      </c>
      <c r="S79" s="6">
        <v>8.18</v>
      </c>
      <c r="T79" s="6">
        <v>5356.17</v>
      </c>
      <c r="U79" s="11">
        <f t="shared" si="6"/>
        <v>4778.0285459411243</v>
      </c>
      <c r="V79" s="6">
        <v>69.38</v>
      </c>
      <c r="W79" s="6">
        <v>45.72</v>
      </c>
      <c r="X79" s="7">
        <v>0</v>
      </c>
    </row>
    <row r="80" spans="1:24" hidden="1" x14ac:dyDescent="0.25">
      <c r="A80" s="7">
        <v>2024</v>
      </c>
      <c r="B80" s="6" t="s">
        <v>90</v>
      </c>
      <c r="C80" s="6" t="s">
        <v>91</v>
      </c>
      <c r="D80" s="6" t="s">
        <v>92</v>
      </c>
      <c r="E80" s="6" t="s">
        <v>26</v>
      </c>
      <c r="F80" s="6" t="s">
        <v>111</v>
      </c>
      <c r="G80" s="6">
        <v>303</v>
      </c>
      <c r="H80" s="6">
        <v>3</v>
      </c>
      <c r="I80" s="6">
        <v>3</v>
      </c>
      <c r="J80" s="6">
        <v>2</v>
      </c>
      <c r="K80" s="6">
        <v>4</v>
      </c>
      <c r="L80" t="s">
        <v>252</v>
      </c>
      <c r="M80" s="8" t="s">
        <v>31</v>
      </c>
      <c r="N80" s="8" t="s">
        <v>60</v>
      </c>
      <c r="P80" s="7">
        <v>10.119999999999999</v>
      </c>
      <c r="Q80" s="7">
        <v>15.1</v>
      </c>
      <c r="R80" s="7">
        <v>43.1</v>
      </c>
      <c r="S80" s="13">
        <f xml:space="preserve"> P80 * (1 - Q80 / 100) / (1 - 0.12)</f>
        <v>9.7635000000000005</v>
      </c>
      <c r="T80" s="11">
        <f>((10000 * S80 * 12% / 2.205)) / ((4.66 * 16) / 10.764)</f>
        <v>767.08938425155463</v>
      </c>
      <c r="U80" s="11">
        <f t="shared" si="6"/>
        <v>684.29026249023605</v>
      </c>
      <c r="V80" s="6">
        <v>74.430000000000007</v>
      </c>
      <c r="W80" s="6">
        <v>60.4</v>
      </c>
      <c r="X80" s="7"/>
    </row>
    <row r="81" spans="1:24" hidden="1" x14ac:dyDescent="0.25">
      <c r="A81" s="7">
        <v>2024</v>
      </c>
      <c r="B81" s="6" t="s">
        <v>125</v>
      </c>
      <c r="C81" s="6" t="s">
        <v>126</v>
      </c>
      <c r="D81" s="6" t="s">
        <v>127</v>
      </c>
      <c r="E81" s="8" t="s">
        <v>128</v>
      </c>
      <c r="F81" s="6" t="s">
        <v>160</v>
      </c>
      <c r="G81" s="6">
        <v>303</v>
      </c>
      <c r="H81" s="6">
        <v>3</v>
      </c>
      <c r="I81" s="6">
        <v>5</v>
      </c>
      <c r="J81" s="6">
        <v>3</v>
      </c>
      <c r="K81" s="6">
        <v>8</v>
      </c>
      <c r="L81" t="s">
        <v>252</v>
      </c>
      <c r="M81" s="8" t="s">
        <v>33</v>
      </c>
      <c r="N81" s="8" t="s">
        <v>58</v>
      </c>
      <c r="O81" s="9" t="s">
        <v>467</v>
      </c>
      <c r="P81" s="6">
        <v>11.6</v>
      </c>
      <c r="Q81" s="6">
        <v>11.5</v>
      </c>
      <c r="R81" s="6">
        <v>44</v>
      </c>
      <c r="S81" s="13">
        <f xml:space="preserve"> P81 * (1 - Q81 / 100) / (1 - 0.12)</f>
        <v>11.665909090909091</v>
      </c>
      <c r="T81" s="11">
        <f>((10000 * S81 * 12% / 2.205)) / ((4.66 * 16) / 10.764)</f>
        <v>916.55605277616303</v>
      </c>
      <c r="U81" s="11">
        <f t="shared" si="6"/>
        <v>817.62359748096617</v>
      </c>
      <c r="V81" s="10">
        <v>73.099999999999994</v>
      </c>
      <c r="W81" s="10">
        <v>45.41</v>
      </c>
      <c r="X81" s="7"/>
    </row>
    <row r="82" spans="1:24" hidden="1" x14ac:dyDescent="0.25">
      <c r="A82" s="7">
        <v>2024</v>
      </c>
      <c r="B82" s="6" t="s">
        <v>90</v>
      </c>
      <c r="C82" s="6" t="s">
        <v>91</v>
      </c>
      <c r="D82" s="6" t="s">
        <v>92</v>
      </c>
      <c r="E82" s="6" t="s">
        <v>26</v>
      </c>
      <c r="F82" s="6" t="s">
        <v>112</v>
      </c>
      <c r="G82" s="6">
        <v>304</v>
      </c>
      <c r="H82" s="6">
        <v>4</v>
      </c>
      <c r="I82" s="6">
        <v>3</v>
      </c>
      <c r="J82" s="6">
        <v>2</v>
      </c>
      <c r="K82" s="6">
        <v>1</v>
      </c>
      <c r="L82" t="s">
        <v>252</v>
      </c>
      <c r="M82" s="8" t="s">
        <v>469</v>
      </c>
      <c r="N82" s="8" t="s">
        <v>469</v>
      </c>
      <c r="O82" s="8" t="s">
        <v>469</v>
      </c>
      <c r="P82" s="7">
        <v>10.1</v>
      </c>
      <c r="Q82" s="7">
        <v>14.8</v>
      </c>
      <c r="R82" s="7">
        <v>43.4</v>
      </c>
      <c r="S82" s="13">
        <f xml:space="preserve"> P82 * (1 - Q82 / 100) / (1 - 0.12)</f>
        <v>9.7786363636363642</v>
      </c>
      <c r="T82" s="11">
        <f>((10000 * S82 * 12% / 2.205)) / ((4.66 * 16) / 10.764)</f>
        <v>768.27860367713231</v>
      </c>
      <c r="U82" s="11">
        <f t="shared" si="6"/>
        <v>685.35111835605028</v>
      </c>
      <c r="V82" s="6">
        <v>74.400000000000006</v>
      </c>
      <c r="W82" s="6">
        <v>61.6</v>
      </c>
      <c r="X82" s="7"/>
    </row>
    <row r="83" spans="1:24" x14ac:dyDescent="0.25">
      <c r="A83" s="7">
        <v>2024</v>
      </c>
      <c r="B83" s="6" t="s">
        <v>27</v>
      </c>
      <c r="C83" s="6" t="s">
        <v>28</v>
      </c>
      <c r="D83" s="6" t="s">
        <v>29</v>
      </c>
      <c r="E83" s="6" t="s">
        <v>24</v>
      </c>
      <c r="F83" s="6" t="s">
        <v>43</v>
      </c>
      <c r="G83" s="6">
        <v>304</v>
      </c>
      <c r="H83" s="6">
        <v>4</v>
      </c>
      <c r="I83" s="6">
        <v>3</v>
      </c>
      <c r="J83" s="6">
        <v>3</v>
      </c>
      <c r="K83" s="6">
        <v>2</v>
      </c>
      <c r="L83" t="s">
        <v>23</v>
      </c>
      <c r="M83" s="8" t="s">
        <v>31</v>
      </c>
      <c r="N83" s="8" t="s">
        <v>57</v>
      </c>
      <c r="O83" s="9" t="s">
        <v>259</v>
      </c>
      <c r="P83" s="6">
        <v>10.19</v>
      </c>
      <c r="Q83" s="6">
        <v>17.3</v>
      </c>
      <c r="R83" s="6">
        <v>43.1</v>
      </c>
      <c r="S83" s="6">
        <v>9.58</v>
      </c>
      <c r="T83" s="6">
        <v>6269.84</v>
      </c>
      <c r="U83" s="11">
        <f t="shared" si="6"/>
        <v>5593.0776092774313</v>
      </c>
      <c r="V83" s="6">
        <v>73.209999999999994</v>
      </c>
      <c r="W83" s="6">
        <v>54.55</v>
      </c>
      <c r="X83" s="7">
        <v>1</v>
      </c>
    </row>
    <row r="84" spans="1:24" hidden="1" x14ac:dyDescent="0.25">
      <c r="A84" s="7">
        <v>2024</v>
      </c>
      <c r="B84" s="6" t="s">
        <v>63</v>
      </c>
      <c r="C84" s="6" t="s">
        <v>64</v>
      </c>
      <c r="D84" s="6" t="s">
        <v>65</v>
      </c>
      <c r="E84" s="6" t="s">
        <v>25</v>
      </c>
      <c r="F84" s="6" t="s">
        <v>85</v>
      </c>
      <c r="G84" s="6">
        <v>304</v>
      </c>
      <c r="H84" s="6">
        <v>4</v>
      </c>
      <c r="I84" s="6">
        <v>3</v>
      </c>
      <c r="J84" s="6">
        <v>2</v>
      </c>
      <c r="K84" s="6">
        <v>5</v>
      </c>
      <c r="L84" t="s">
        <v>252</v>
      </c>
      <c r="M84" s="8" t="s">
        <v>31</v>
      </c>
      <c r="N84" s="8" t="s">
        <v>62</v>
      </c>
      <c r="O84" s="9" t="s">
        <v>259</v>
      </c>
      <c r="P84" s="6">
        <v>8.44</v>
      </c>
      <c r="Q84" s="6">
        <v>14.7</v>
      </c>
      <c r="R84" s="6">
        <v>39.5</v>
      </c>
      <c r="S84" s="6">
        <v>8.18</v>
      </c>
      <c r="T84" s="6">
        <v>5356.34</v>
      </c>
      <c r="U84" s="11">
        <f t="shared" si="6"/>
        <v>4778.1801962533455</v>
      </c>
      <c r="V84" s="6">
        <v>69.790000000000006</v>
      </c>
      <c r="W84" s="6">
        <v>46.91</v>
      </c>
      <c r="X84" s="7">
        <v>1</v>
      </c>
    </row>
    <row r="85" spans="1:24" hidden="1" x14ac:dyDescent="0.25">
      <c r="A85" s="7">
        <v>2024</v>
      </c>
      <c r="B85" s="6" t="s">
        <v>125</v>
      </c>
      <c r="C85" s="6" t="s">
        <v>126</v>
      </c>
      <c r="D85" s="6" t="s">
        <v>127</v>
      </c>
      <c r="E85" s="8" t="s">
        <v>128</v>
      </c>
      <c r="F85" s="6" t="s">
        <v>161</v>
      </c>
      <c r="G85" s="6">
        <v>304</v>
      </c>
      <c r="H85" s="6">
        <v>4</v>
      </c>
      <c r="I85" s="6">
        <v>5</v>
      </c>
      <c r="J85" s="6">
        <v>3</v>
      </c>
      <c r="K85" s="6">
        <v>5</v>
      </c>
      <c r="L85" t="s">
        <v>252</v>
      </c>
      <c r="M85" s="8" t="s">
        <v>31</v>
      </c>
      <c r="N85" s="8" t="s">
        <v>62</v>
      </c>
      <c r="O85" s="9" t="s">
        <v>259</v>
      </c>
      <c r="P85" s="6">
        <v>10.49</v>
      </c>
      <c r="Q85" s="6">
        <v>11.2</v>
      </c>
      <c r="R85" s="6">
        <v>43.8</v>
      </c>
      <c r="S85" s="13">
        <f xml:space="preserve"> P85 * (1 - Q85 / 100) / (1 - 0.12)</f>
        <v>10.585363636363637</v>
      </c>
      <c r="T85" s="11">
        <f>((10000 * S85 * 12% / 2.205)) / ((4.66 * 16) / 10.764)</f>
        <v>831.66078495385659</v>
      </c>
      <c r="U85" s="11">
        <f t="shared" si="6"/>
        <v>741.89186882592026</v>
      </c>
      <c r="V85" s="10">
        <v>72.48</v>
      </c>
      <c r="W85" s="10">
        <v>43.67</v>
      </c>
      <c r="X85" s="7"/>
    </row>
    <row r="86" spans="1:24" hidden="1" x14ac:dyDescent="0.25">
      <c r="A86" s="7">
        <v>2024</v>
      </c>
      <c r="B86" s="6" t="s">
        <v>125</v>
      </c>
      <c r="C86" s="6" t="s">
        <v>126</v>
      </c>
      <c r="D86" s="6" t="s">
        <v>127</v>
      </c>
      <c r="E86" s="8" t="s">
        <v>128</v>
      </c>
      <c r="F86" s="6" t="s">
        <v>162</v>
      </c>
      <c r="G86" s="6">
        <v>305</v>
      </c>
      <c r="H86" s="6">
        <v>5</v>
      </c>
      <c r="I86" s="6">
        <v>5</v>
      </c>
      <c r="J86" s="6">
        <v>3</v>
      </c>
      <c r="K86" s="6">
        <v>10</v>
      </c>
      <c r="L86" t="s">
        <v>252</v>
      </c>
      <c r="M86" s="8" t="s">
        <v>137</v>
      </c>
      <c r="N86" s="8" t="s">
        <v>58</v>
      </c>
      <c r="O86" s="9" t="s">
        <v>468</v>
      </c>
      <c r="P86" s="6">
        <v>10.81</v>
      </c>
      <c r="Q86" s="6">
        <v>10.6</v>
      </c>
      <c r="R86" s="6">
        <v>43.9</v>
      </c>
      <c r="S86" s="13">
        <f xml:space="preserve"> P86 * (1 - Q86 / 100) / (1 - 0.12)</f>
        <v>10.981977272727274</v>
      </c>
      <c r="T86" s="11">
        <f>((10000 * S86 * 12% / 2.205)) / ((4.66 * 16) / 10.764)</f>
        <v>862.82154801054241</v>
      </c>
      <c r="U86" s="11">
        <f t="shared" si="6"/>
        <v>769.68915968826263</v>
      </c>
      <c r="V86" s="10">
        <v>72.760000000000005</v>
      </c>
      <c r="W86" s="10">
        <v>45.68</v>
      </c>
      <c r="X86" s="7"/>
    </row>
    <row r="87" spans="1:24" hidden="1" x14ac:dyDescent="0.25">
      <c r="A87" s="7">
        <v>2024</v>
      </c>
      <c r="B87" s="6" t="s">
        <v>63</v>
      </c>
      <c r="C87" s="6" t="s">
        <v>64</v>
      </c>
      <c r="D87" s="6" t="s">
        <v>65</v>
      </c>
      <c r="E87" s="6" t="s">
        <v>25</v>
      </c>
      <c r="F87" s="6" t="s">
        <v>86</v>
      </c>
      <c r="G87" s="6">
        <v>305</v>
      </c>
      <c r="H87" s="6">
        <v>5</v>
      </c>
      <c r="I87" s="6">
        <v>3</v>
      </c>
      <c r="J87" s="6">
        <v>2</v>
      </c>
      <c r="K87" s="6">
        <v>4</v>
      </c>
      <c r="L87" t="s">
        <v>252</v>
      </c>
      <c r="M87" s="8" t="s">
        <v>31</v>
      </c>
      <c r="N87" s="8" t="s">
        <v>60</v>
      </c>
      <c r="O87" s="9" t="s">
        <v>259</v>
      </c>
      <c r="P87" s="6">
        <v>8.81</v>
      </c>
      <c r="Q87" s="6">
        <v>14.6</v>
      </c>
      <c r="R87" s="6">
        <v>39.5</v>
      </c>
      <c r="S87" s="6">
        <v>8.5500000000000007</v>
      </c>
      <c r="T87" s="6">
        <v>5597.71</v>
      </c>
      <c r="U87" s="11">
        <f t="shared" si="6"/>
        <v>4993.4968777876893</v>
      </c>
      <c r="V87" s="6">
        <v>69.97</v>
      </c>
      <c r="W87" s="6">
        <v>46.96</v>
      </c>
      <c r="X87" s="7">
        <v>0</v>
      </c>
    </row>
    <row r="88" spans="1:24" hidden="1" x14ac:dyDescent="0.25">
      <c r="A88" s="7">
        <v>2024</v>
      </c>
      <c r="B88" s="6" t="s">
        <v>90</v>
      </c>
      <c r="C88" s="6" t="s">
        <v>91</v>
      </c>
      <c r="D88" s="6" t="s">
        <v>92</v>
      </c>
      <c r="E88" s="6" t="s">
        <v>26</v>
      </c>
      <c r="F88" s="6" t="s">
        <v>113</v>
      </c>
      <c r="G88" s="6">
        <v>305</v>
      </c>
      <c r="H88" s="6">
        <v>5</v>
      </c>
      <c r="I88" s="6">
        <v>3</v>
      </c>
      <c r="J88" s="6">
        <v>3</v>
      </c>
      <c r="K88" s="6">
        <v>2</v>
      </c>
      <c r="L88" t="s">
        <v>252</v>
      </c>
      <c r="M88" s="8" t="s">
        <v>31</v>
      </c>
      <c r="N88" s="8" t="s">
        <v>57</v>
      </c>
      <c r="O88" s="9" t="s">
        <v>259</v>
      </c>
      <c r="P88" s="7">
        <v>10.050000000000001</v>
      </c>
      <c r="Q88" s="7">
        <v>15</v>
      </c>
      <c r="R88" s="7">
        <v>43.3</v>
      </c>
      <c r="S88" s="13">
        <f xml:space="preserve"> P88 * (1 - Q88 / 100) / (1 - 0.12)</f>
        <v>9.7073863636363633</v>
      </c>
      <c r="T88" s="11">
        <f>((10000 * S88 * 12% / 2.205)) / ((4.66 * 16) / 10.764)</f>
        <v>762.68070142610293</v>
      </c>
      <c r="U88" s="11">
        <f t="shared" si="6"/>
        <v>680.35744997868233</v>
      </c>
      <c r="V88" s="6">
        <v>74.36</v>
      </c>
      <c r="W88" s="6">
        <v>61.68</v>
      </c>
      <c r="X88" s="7"/>
    </row>
    <row r="89" spans="1:24" hidden="1" x14ac:dyDescent="0.25">
      <c r="A89" s="7">
        <v>2024</v>
      </c>
      <c r="B89" s="6" t="s">
        <v>63</v>
      </c>
      <c r="C89" s="6" t="s">
        <v>64</v>
      </c>
      <c r="D89" s="6" t="s">
        <v>65</v>
      </c>
      <c r="E89" s="6" t="s">
        <v>25</v>
      </c>
      <c r="F89" s="6" t="s">
        <v>87</v>
      </c>
      <c r="G89" s="6">
        <v>306</v>
      </c>
      <c r="H89" s="6">
        <v>6</v>
      </c>
      <c r="I89" s="6">
        <v>3</v>
      </c>
      <c r="J89" s="6">
        <v>3</v>
      </c>
      <c r="K89" s="6">
        <v>4</v>
      </c>
      <c r="L89" t="s">
        <v>252</v>
      </c>
      <c r="M89" s="8" t="s">
        <v>31</v>
      </c>
      <c r="N89" s="8" t="s">
        <v>60</v>
      </c>
      <c r="O89" s="9" t="s">
        <v>259</v>
      </c>
      <c r="P89" s="6">
        <v>9.42</v>
      </c>
      <c r="Q89" s="6">
        <v>14.4</v>
      </c>
      <c r="R89" s="6">
        <v>39.9</v>
      </c>
      <c r="S89" s="6">
        <v>9.16</v>
      </c>
      <c r="T89" s="6">
        <v>5999.31</v>
      </c>
      <c r="U89" s="11">
        <f t="shared" si="6"/>
        <v>5351.7484388938456</v>
      </c>
      <c r="V89" s="6">
        <v>71.599999999999994</v>
      </c>
      <c r="W89" s="6">
        <v>52.1</v>
      </c>
      <c r="X89" s="7">
        <v>1</v>
      </c>
    </row>
    <row r="90" spans="1:24" hidden="1" x14ac:dyDescent="0.25">
      <c r="A90" s="7">
        <v>2024</v>
      </c>
      <c r="B90" s="6" t="s">
        <v>90</v>
      </c>
      <c r="C90" s="6" t="s">
        <v>91</v>
      </c>
      <c r="D90" s="6" t="s">
        <v>92</v>
      </c>
      <c r="E90" s="6" t="s">
        <v>26</v>
      </c>
      <c r="F90" s="6" t="s">
        <v>114</v>
      </c>
      <c r="G90" s="6">
        <v>306</v>
      </c>
      <c r="H90" s="6">
        <v>6</v>
      </c>
      <c r="I90" s="6">
        <v>3</v>
      </c>
      <c r="J90" s="6">
        <v>3</v>
      </c>
      <c r="K90" s="6">
        <v>3</v>
      </c>
      <c r="L90" t="s">
        <v>252</v>
      </c>
      <c r="M90" s="8" t="s">
        <v>31</v>
      </c>
      <c r="N90" s="8" t="s">
        <v>58</v>
      </c>
      <c r="O90" s="9" t="s">
        <v>259</v>
      </c>
      <c r="P90" s="7">
        <v>10.88</v>
      </c>
      <c r="Q90" s="7">
        <v>14.9</v>
      </c>
      <c r="R90" s="7">
        <v>43.5</v>
      </c>
      <c r="S90" s="13">
        <f xml:space="preserve"> P90 * (1 - Q90 / 100) / (1 - 0.12)</f>
        <v>10.521454545454544</v>
      </c>
      <c r="T90" s="11">
        <f>((10000 * S90 * 12% / 2.205)) / ((4.66 * 16) / 10.764)</f>
        <v>826.63963626808493</v>
      </c>
      <c r="U90" s="11">
        <f t="shared" si="6"/>
        <v>737.4126996147055</v>
      </c>
      <c r="V90" s="6">
        <v>73.89</v>
      </c>
      <c r="W90" s="6">
        <v>60.28</v>
      </c>
      <c r="X90" s="7"/>
    </row>
    <row r="91" spans="1:24" hidden="1" x14ac:dyDescent="0.25">
      <c r="A91" s="7">
        <v>2024</v>
      </c>
      <c r="B91" s="6" t="s">
        <v>125</v>
      </c>
      <c r="C91" s="6" t="s">
        <v>126</v>
      </c>
      <c r="D91" s="6" t="s">
        <v>127</v>
      </c>
      <c r="E91" s="8" t="s">
        <v>128</v>
      </c>
      <c r="F91" s="6" t="s">
        <v>163</v>
      </c>
      <c r="G91" s="6">
        <v>306</v>
      </c>
      <c r="H91" s="6">
        <v>6</v>
      </c>
      <c r="I91" s="6">
        <v>5</v>
      </c>
      <c r="J91" s="6">
        <v>3</v>
      </c>
      <c r="K91" s="6">
        <v>2</v>
      </c>
      <c r="L91" t="s">
        <v>252</v>
      </c>
      <c r="M91" s="8" t="s">
        <v>31</v>
      </c>
      <c r="N91" s="8" t="s">
        <v>57</v>
      </c>
      <c r="O91" s="9" t="s">
        <v>259</v>
      </c>
      <c r="P91" s="6">
        <v>9.7799999999999994</v>
      </c>
      <c r="Q91" s="6">
        <v>10.9</v>
      </c>
      <c r="R91" s="6">
        <v>44</v>
      </c>
      <c r="S91" s="13">
        <f xml:space="preserve"> P91 * (1 - Q91 / 100) / (1 - 0.12)</f>
        <v>9.9022499999999987</v>
      </c>
      <c r="T91" s="11">
        <f>((10000 * S91 * 12% / 2.205)) / ((4.66 * 16) / 10.764)</f>
        <v>777.9905623193481</v>
      </c>
      <c r="U91" s="11">
        <f t="shared" si="6"/>
        <v>694.01477459353089</v>
      </c>
      <c r="V91" s="10">
        <v>72.67</v>
      </c>
      <c r="W91" s="10">
        <v>44.76</v>
      </c>
      <c r="X91" s="7"/>
    </row>
    <row r="92" spans="1:24" hidden="1" x14ac:dyDescent="0.25">
      <c r="A92" s="7">
        <v>2024</v>
      </c>
      <c r="B92" s="6" t="s">
        <v>125</v>
      </c>
      <c r="C92" s="6" t="s">
        <v>126</v>
      </c>
      <c r="D92" s="6" t="s">
        <v>127</v>
      </c>
      <c r="E92" s="8" t="s">
        <v>128</v>
      </c>
      <c r="F92" s="6" t="s">
        <v>164</v>
      </c>
      <c r="G92" s="6">
        <v>307</v>
      </c>
      <c r="H92" s="6">
        <v>7</v>
      </c>
      <c r="I92" s="6">
        <v>5</v>
      </c>
      <c r="J92" s="6">
        <v>3</v>
      </c>
      <c r="K92" s="6">
        <v>13</v>
      </c>
      <c r="L92" t="s">
        <v>252</v>
      </c>
      <c r="M92" s="8" t="s">
        <v>137</v>
      </c>
      <c r="N92" s="8" t="s">
        <v>59</v>
      </c>
      <c r="O92" s="9" t="s">
        <v>468</v>
      </c>
      <c r="P92" s="6">
        <v>10.46</v>
      </c>
      <c r="Q92" s="6">
        <v>10.8</v>
      </c>
      <c r="R92" s="6">
        <v>44</v>
      </c>
      <c r="S92" s="13">
        <f xml:space="preserve"> P92 * (1 - Q92 / 100) / (1 - 0.12)</f>
        <v>10.602636363636364</v>
      </c>
      <c r="T92" s="11">
        <f>((10000 * S92 * 12% / 2.205)) / ((4.66 * 16) / 10.764)</f>
        <v>833.01785216622739</v>
      </c>
      <c r="U92" s="11">
        <f t="shared" si="6"/>
        <v>743.10245509922163</v>
      </c>
      <c r="V92" s="10">
        <v>72.73</v>
      </c>
      <c r="W92" s="10">
        <v>49.05</v>
      </c>
      <c r="X92" s="7"/>
    </row>
    <row r="93" spans="1:24" hidden="1" x14ac:dyDescent="0.25">
      <c r="A93" s="7">
        <v>2024</v>
      </c>
      <c r="B93" s="6" t="s">
        <v>63</v>
      </c>
      <c r="C93" s="6" t="s">
        <v>64</v>
      </c>
      <c r="D93" s="6" t="s">
        <v>65</v>
      </c>
      <c r="E93" s="6" t="s">
        <v>25</v>
      </c>
      <c r="F93" s="6" t="s">
        <v>88</v>
      </c>
      <c r="G93" s="6">
        <v>307</v>
      </c>
      <c r="H93" s="6">
        <v>7</v>
      </c>
      <c r="I93" s="6">
        <v>3</v>
      </c>
      <c r="J93" s="6">
        <v>3</v>
      </c>
      <c r="K93" s="6">
        <v>5</v>
      </c>
      <c r="L93" t="s">
        <v>252</v>
      </c>
      <c r="M93" s="8" t="s">
        <v>31</v>
      </c>
      <c r="N93" s="8" t="s">
        <v>62</v>
      </c>
      <c r="O93" s="9" t="s">
        <v>259</v>
      </c>
      <c r="P93" s="6">
        <v>8.8699999999999992</v>
      </c>
      <c r="Q93" s="6">
        <v>14.5</v>
      </c>
      <c r="R93" s="6">
        <v>41.3</v>
      </c>
      <c r="S93" s="6">
        <v>8.6199999999999992</v>
      </c>
      <c r="T93" s="6">
        <v>5642.43</v>
      </c>
      <c r="U93" s="11">
        <f t="shared" si="6"/>
        <v>5033.3898305084749</v>
      </c>
      <c r="V93" s="6">
        <v>71.88</v>
      </c>
      <c r="W93" s="6">
        <v>53.09</v>
      </c>
      <c r="X93" s="7">
        <v>1</v>
      </c>
    </row>
    <row r="94" spans="1:24" hidden="1" x14ac:dyDescent="0.25">
      <c r="A94" s="7">
        <v>2024</v>
      </c>
      <c r="B94" s="6" t="s">
        <v>90</v>
      </c>
      <c r="C94" s="6" t="s">
        <v>91</v>
      </c>
      <c r="D94" s="6" t="s">
        <v>92</v>
      </c>
      <c r="E94" s="6" t="s">
        <v>26</v>
      </c>
      <c r="F94" s="6" t="s">
        <v>115</v>
      </c>
      <c r="G94" s="6">
        <v>307</v>
      </c>
      <c r="H94" s="6">
        <v>7</v>
      </c>
      <c r="I94" s="6">
        <v>3</v>
      </c>
      <c r="J94" s="6">
        <v>4</v>
      </c>
      <c r="K94" s="6">
        <v>2</v>
      </c>
      <c r="L94" t="s">
        <v>252</v>
      </c>
      <c r="M94" s="8" t="s">
        <v>31</v>
      </c>
      <c r="N94" s="8" t="s">
        <v>57</v>
      </c>
      <c r="O94" s="9" t="s">
        <v>259</v>
      </c>
      <c r="P94" s="7">
        <v>9.85</v>
      </c>
      <c r="Q94" s="7">
        <v>14.3</v>
      </c>
      <c r="R94" s="7">
        <v>43.7</v>
      </c>
      <c r="S94" s="13">
        <f xml:space="preserve"> P94 * (1 - Q94 / 100) / (1 - 0.12)</f>
        <v>9.5925568181818175</v>
      </c>
      <c r="T94" s="11">
        <f>((10000 * S94 * 12% / 2.205)) / ((4.66 * 16) / 10.764)</f>
        <v>753.65888288596727</v>
      </c>
      <c r="U94" s="11">
        <f t="shared" si="6"/>
        <v>672.30944057624197</v>
      </c>
      <c r="V94" s="6">
        <v>74.7</v>
      </c>
      <c r="W94" s="6">
        <v>62.33</v>
      </c>
      <c r="X94" s="7"/>
    </row>
    <row r="95" spans="1:24" hidden="1" x14ac:dyDescent="0.25">
      <c r="A95" s="7">
        <v>2024</v>
      </c>
      <c r="B95" s="6" t="s">
        <v>125</v>
      </c>
      <c r="C95" s="6" t="s">
        <v>126</v>
      </c>
      <c r="D95" s="6" t="s">
        <v>127</v>
      </c>
      <c r="E95" s="8" t="s">
        <v>128</v>
      </c>
      <c r="F95" s="6" t="s">
        <v>165</v>
      </c>
      <c r="G95" s="6">
        <v>308</v>
      </c>
      <c r="H95" s="6">
        <v>1</v>
      </c>
      <c r="I95" s="6">
        <v>6</v>
      </c>
      <c r="J95" s="6">
        <v>3</v>
      </c>
      <c r="K95" s="6">
        <v>11</v>
      </c>
      <c r="L95" t="s">
        <v>252</v>
      </c>
      <c r="M95" s="8" t="s">
        <v>137</v>
      </c>
      <c r="N95" s="8" t="s">
        <v>60</v>
      </c>
      <c r="O95" s="9" t="s">
        <v>468</v>
      </c>
      <c r="P95" s="6">
        <v>11.7</v>
      </c>
      <c r="Q95" s="6">
        <v>11.4</v>
      </c>
      <c r="R95" s="6">
        <v>44</v>
      </c>
      <c r="S95" s="13">
        <f xml:space="preserve"> P95 * (1 - Q95 / 100) / (1 - 0.12)</f>
        <v>11.779772727272727</v>
      </c>
      <c r="T95" s="11">
        <f>((10000 * S95 * 12% / 2.205)) / ((4.66 * 16) / 10.764)</f>
        <v>925.50198268929091</v>
      </c>
      <c r="U95" s="11">
        <f t="shared" si="6"/>
        <v>825.60390962470194</v>
      </c>
      <c r="V95" s="10">
        <v>73.09</v>
      </c>
      <c r="W95" s="10">
        <v>48.48</v>
      </c>
      <c r="X95" s="7"/>
    </row>
    <row r="96" spans="1:24" hidden="1" x14ac:dyDescent="0.25">
      <c r="A96" s="7">
        <v>2024</v>
      </c>
      <c r="B96" s="6" t="s">
        <v>63</v>
      </c>
      <c r="C96" s="6" t="s">
        <v>64</v>
      </c>
      <c r="D96" s="6" t="s">
        <v>65</v>
      </c>
      <c r="E96" s="6" t="s">
        <v>25</v>
      </c>
      <c r="F96" s="6" t="s">
        <v>89</v>
      </c>
      <c r="G96" s="6">
        <v>308</v>
      </c>
      <c r="H96" s="6">
        <v>8</v>
      </c>
      <c r="I96" s="6">
        <v>3</v>
      </c>
      <c r="J96" s="6">
        <v>3</v>
      </c>
      <c r="K96" s="6">
        <v>7</v>
      </c>
      <c r="L96" t="s">
        <v>252</v>
      </c>
      <c r="M96" s="8" t="s">
        <v>31</v>
      </c>
      <c r="N96" s="8" t="s">
        <v>61</v>
      </c>
      <c r="O96" s="9" t="s">
        <v>259</v>
      </c>
      <c r="P96" s="6">
        <v>8.52</v>
      </c>
      <c r="Q96" s="6">
        <v>14.4</v>
      </c>
      <c r="R96" s="6">
        <v>40.6</v>
      </c>
      <c r="S96" s="6">
        <v>8.2899999999999991</v>
      </c>
      <c r="T96" s="6">
        <v>5426.13</v>
      </c>
      <c r="U96" s="11">
        <f t="shared" si="6"/>
        <v>4840.4371097234616</v>
      </c>
      <c r="V96" s="6">
        <v>71.41</v>
      </c>
      <c r="W96" s="6">
        <v>52.83</v>
      </c>
      <c r="X96" s="7">
        <v>1</v>
      </c>
    </row>
    <row r="97" spans="1:24" hidden="1" x14ac:dyDescent="0.25">
      <c r="A97" s="7">
        <v>2024</v>
      </c>
      <c r="B97" s="6" t="s">
        <v>90</v>
      </c>
      <c r="C97" s="6" t="s">
        <v>91</v>
      </c>
      <c r="D97" s="6" t="s">
        <v>92</v>
      </c>
      <c r="E97" s="6" t="s">
        <v>26</v>
      </c>
      <c r="F97" s="6" t="s">
        <v>116</v>
      </c>
      <c r="G97" s="6">
        <v>308</v>
      </c>
      <c r="H97" s="6">
        <v>8</v>
      </c>
      <c r="I97" s="6">
        <v>3</v>
      </c>
      <c r="J97" s="6">
        <v>4</v>
      </c>
      <c r="K97" s="6">
        <v>3</v>
      </c>
      <c r="L97" t="s">
        <v>252</v>
      </c>
      <c r="M97" s="8" t="s">
        <v>31</v>
      </c>
      <c r="N97" s="8" t="s">
        <v>58</v>
      </c>
      <c r="O97" s="9" t="s">
        <v>259</v>
      </c>
      <c r="P97" s="7">
        <v>11.32</v>
      </c>
      <c r="Q97" s="7">
        <v>15.3</v>
      </c>
      <c r="R97" s="7">
        <v>43.1</v>
      </c>
      <c r="S97" s="13">
        <f t="shared" ref="S97:S104" si="7" xml:space="preserve"> P97 * (1 - Q97 / 100) / (1 - 0.12)</f>
        <v>10.8955</v>
      </c>
      <c r="T97" s="11">
        <f t="shared" ref="T97:T104" si="8">((10000 * S97 * 12% / 2.205)) / ((4.66 * 16) / 10.764)</f>
        <v>856.02728387492323</v>
      </c>
      <c r="U97" s="11">
        <f t="shared" si="6"/>
        <v>763.62826393837929</v>
      </c>
      <c r="V97" s="6">
        <v>74.39</v>
      </c>
      <c r="W97" s="6">
        <v>60.35</v>
      </c>
      <c r="X97" s="7"/>
    </row>
    <row r="98" spans="1:24" hidden="1" x14ac:dyDescent="0.25">
      <c r="A98" s="7">
        <v>2024</v>
      </c>
      <c r="B98" s="6" t="s">
        <v>125</v>
      </c>
      <c r="C98" s="6" t="s">
        <v>126</v>
      </c>
      <c r="D98" s="6" t="s">
        <v>127</v>
      </c>
      <c r="E98" s="8" t="s">
        <v>128</v>
      </c>
      <c r="F98" s="6" t="s">
        <v>166</v>
      </c>
      <c r="G98" s="6">
        <v>309</v>
      </c>
      <c r="H98" s="6">
        <v>2</v>
      </c>
      <c r="I98" s="6">
        <v>6</v>
      </c>
      <c r="J98" s="6">
        <v>3</v>
      </c>
      <c r="K98" s="6">
        <v>7</v>
      </c>
      <c r="L98" t="s">
        <v>252</v>
      </c>
      <c r="M98" s="8" t="s">
        <v>31</v>
      </c>
      <c r="N98" s="8" t="s">
        <v>61</v>
      </c>
      <c r="O98" s="9" t="s">
        <v>259</v>
      </c>
      <c r="P98" s="6">
        <v>10.56</v>
      </c>
      <c r="Q98" s="6">
        <v>12.9</v>
      </c>
      <c r="R98" s="6">
        <v>43.6</v>
      </c>
      <c r="S98" s="13">
        <f t="shared" si="7"/>
        <v>10.452</v>
      </c>
      <c r="T98" s="11">
        <f t="shared" si="8"/>
        <v>821.18279758255233</v>
      </c>
      <c r="U98" s="11">
        <f t="shared" si="6"/>
        <v>732.54486849469436</v>
      </c>
      <c r="V98" s="10">
        <v>73.16</v>
      </c>
      <c r="W98" s="10">
        <v>53.3</v>
      </c>
      <c r="X98" s="7"/>
    </row>
    <row r="99" spans="1:24" hidden="1" x14ac:dyDescent="0.25">
      <c r="A99" s="7">
        <v>2024</v>
      </c>
      <c r="B99" s="6" t="s">
        <v>125</v>
      </c>
      <c r="C99" s="6" t="s">
        <v>126</v>
      </c>
      <c r="D99" s="6" t="s">
        <v>127</v>
      </c>
      <c r="E99" s="8" t="s">
        <v>128</v>
      </c>
      <c r="F99" s="6" t="s">
        <v>167</v>
      </c>
      <c r="G99" s="6">
        <v>310</v>
      </c>
      <c r="H99" s="6">
        <v>3</v>
      </c>
      <c r="I99" s="6">
        <v>6</v>
      </c>
      <c r="J99" s="6">
        <v>3</v>
      </c>
      <c r="K99" s="6">
        <v>12</v>
      </c>
      <c r="L99" t="s">
        <v>252</v>
      </c>
      <c r="M99" s="8" t="s">
        <v>137</v>
      </c>
      <c r="N99" s="8" t="s">
        <v>62</v>
      </c>
      <c r="O99" s="9" t="s">
        <v>468</v>
      </c>
      <c r="P99" s="6">
        <v>10.53</v>
      </c>
      <c r="Q99" s="6">
        <v>11.6</v>
      </c>
      <c r="R99" s="6">
        <v>44.2</v>
      </c>
      <c r="S99" s="13">
        <f t="shared" si="7"/>
        <v>10.577863636363636</v>
      </c>
      <c r="T99" s="11">
        <f t="shared" si="8"/>
        <v>831.07153208532725</v>
      </c>
      <c r="U99" s="11">
        <f t="shared" ref="U99:U130" si="9">T99/1.121</f>
        <v>741.36621952303949</v>
      </c>
      <c r="V99" s="10">
        <v>72.31</v>
      </c>
      <c r="W99" s="10">
        <v>50.23</v>
      </c>
      <c r="X99" s="7"/>
    </row>
    <row r="100" spans="1:24" hidden="1" x14ac:dyDescent="0.25">
      <c r="A100" s="7">
        <v>2024</v>
      </c>
      <c r="B100" s="6" t="s">
        <v>125</v>
      </c>
      <c r="C100" s="6" t="s">
        <v>126</v>
      </c>
      <c r="D100" s="6" t="s">
        <v>127</v>
      </c>
      <c r="E100" s="8" t="s">
        <v>128</v>
      </c>
      <c r="F100" s="6" t="s">
        <v>168</v>
      </c>
      <c r="G100" s="6">
        <v>311</v>
      </c>
      <c r="H100" s="6">
        <v>4</v>
      </c>
      <c r="I100" s="6">
        <v>6</v>
      </c>
      <c r="J100" s="6">
        <v>3</v>
      </c>
      <c r="K100" s="6">
        <v>4</v>
      </c>
      <c r="L100" t="s">
        <v>252</v>
      </c>
      <c r="M100" s="8" t="s">
        <v>31</v>
      </c>
      <c r="N100" s="8" t="s">
        <v>60</v>
      </c>
      <c r="O100" s="9" t="s">
        <v>259</v>
      </c>
      <c r="P100" s="6">
        <v>9.73</v>
      </c>
      <c r="Q100" s="6">
        <v>11.6</v>
      </c>
      <c r="R100" s="6">
        <v>44</v>
      </c>
      <c r="S100" s="13">
        <f t="shared" si="7"/>
        <v>9.7742272727272734</v>
      </c>
      <c r="T100" s="11">
        <f t="shared" si="8"/>
        <v>767.93219441502708</v>
      </c>
      <c r="U100" s="11">
        <f t="shared" si="9"/>
        <v>685.04210028102329</v>
      </c>
      <c r="V100" s="10">
        <v>72.430000000000007</v>
      </c>
      <c r="W100" s="10">
        <v>43.98</v>
      </c>
      <c r="X100" s="7"/>
    </row>
    <row r="101" spans="1:24" hidden="1" x14ac:dyDescent="0.25">
      <c r="A101" s="7">
        <v>2024</v>
      </c>
      <c r="B101" s="6" t="s">
        <v>125</v>
      </c>
      <c r="C101" s="6" t="s">
        <v>126</v>
      </c>
      <c r="D101" s="6" t="s">
        <v>127</v>
      </c>
      <c r="E101" s="8" t="s">
        <v>128</v>
      </c>
      <c r="F101" s="6" t="s">
        <v>169</v>
      </c>
      <c r="G101" s="6">
        <v>312</v>
      </c>
      <c r="H101" s="6">
        <v>5</v>
      </c>
      <c r="I101" s="6">
        <v>6</v>
      </c>
      <c r="J101" s="6">
        <v>3</v>
      </c>
      <c r="K101" s="6">
        <v>6</v>
      </c>
      <c r="L101" t="s">
        <v>252</v>
      </c>
      <c r="M101" s="8" t="s">
        <v>31</v>
      </c>
      <c r="N101" s="8" t="s">
        <v>59</v>
      </c>
      <c r="O101" s="9" t="s">
        <v>259</v>
      </c>
      <c r="P101" s="6">
        <v>10.32</v>
      </c>
      <c r="Q101" s="6">
        <v>11</v>
      </c>
      <c r="R101" s="6">
        <v>44.4</v>
      </c>
      <c r="S101" s="13">
        <f t="shared" si="7"/>
        <v>10.437272727272727</v>
      </c>
      <c r="T101" s="11">
        <f t="shared" si="8"/>
        <v>820.02571922253105</v>
      </c>
      <c r="U101" s="11">
        <f t="shared" si="9"/>
        <v>731.51268440903755</v>
      </c>
      <c r="V101" s="10">
        <v>73.02</v>
      </c>
      <c r="W101" s="10">
        <v>45.98</v>
      </c>
      <c r="X101" s="7"/>
    </row>
    <row r="102" spans="1:24" hidden="1" x14ac:dyDescent="0.25">
      <c r="A102" s="7">
        <v>2024</v>
      </c>
      <c r="B102" s="6" t="s">
        <v>125</v>
      </c>
      <c r="C102" s="6" t="s">
        <v>126</v>
      </c>
      <c r="D102" s="6" t="s">
        <v>127</v>
      </c>
      <c r="E102" s="8" t="s">
        <v>128</v>
      </c>
      <c r="F102" s="6" t="s">
        <v>170</v>
      </c>
      <c r="G102" s="6">
        <v>313</v>
      </c>
      <c r="H102" s="6">
        <v>6</v>
      </c>
      <c r="I102" s="6">
        <v>6</v>
      </c>
      <c r="J102" s="6">
        <v>3</v>
      </c>
      <c r="K102" s="6">
        <v>3</v>
      </c>
      <c r="L102" t="s">
        <v>252</v>
      </c>
      <c r="M102" s="8" t="s">
        <v>31</v>
      </c>
      <c r="N102" s="8" t="s">
        <v>58</v>
      </c>
      <c r="O102" s="9" t="s">
        <v>259</v>
      </c>
      <c r="P102" s="6">
        <v>9.99</v>
      </c>
      <c r="Q102" s="6">
        <v>11.8</v>
      </c>
      <c r="R102" s="6">
        <v>43.9</v>
      </c>
      <c r="S102" s="13">
        <f t="shared" si="7"/>
        <v>10.012704545454545</v>
      </c>
      <c r="T102" s="11">
        <f t="shared" si="8"/>
        <v>786.66865001950839</v>
      </c>
      <c r="U102" s="11">
        <f t="shared" si="9"/>
        <v>701.75615523595752</v>
      </c>
      <c r="V102" s="10">
        <v>73.05</v>
      </c>
      <c r="W102" s="10">
        <v>46.82</v>
      </c>
      <c r="X102" s="7"/>
    </row>
    <row r="103" spans="1:24" hidden="1" x14ac:dyDescent="0.25">
      <c r="A103" s="7">
        <v>2024</v>
      </c>
      <c r="B103" s="6" t="s">
        <v>125</v>
      </c>
      <c r="C103" s="6" t="s">
        <v>126</v>
      </c>
      <c r="D103" s="6" t="s">
        <v>127</v>
      </c>
      <c r="E103" s="8" t="s">
        <v>128</v>
      </c>
      <c r="F103" s="6" t="s">
        <v>171</v>
      </c>
      <c r="G103" s="6">
        <v>314</v>
      </c>
      <c r="H103" s="6">
        <v>7</v>
      </c>
      <c r="I103" s="6">
        <v>6</v>
      </c>
      <c r="J103" s="6">
        <v>3</v>
      </c>
      <c r="K103" s="6">
        <v>9</v>
      </c>
      <c r="L103" t="s">
        <v>252</v>
      </c>
      <c r="M103" s="8" t="s">
        <v>137</v>
      </c>
      <c r="N103" s="8" t="s">
        <v>57</v>
      </c>
      <c r="O103" s="9" t="s">
        <v>468</v>
      </c>
      <c r="P103" s="6">
        <v>10.58</v>
      </c>
      <c r="Q103" s="6">
        <v>11.1</v>
      </c>
      <c r="R103" s="6">
        <v>52.3</v>
      </c>
      <c r="S103" s="13">
        <f t="shared" si="7"/>
        <v>10.688204545454546</v>
      </c>
      <c r="T103" s="11">
        <f t="shared" si="8"/>
        <v>839.74069171172164</v>
      </c>
      <c r="U103" s="11">
        <f t="shared" si="9"/>
        <v>749.09963578208885</v>
      </c>
      <c r="V103" s="10">
        <v>71.760000000000005</v>
      </c>
      <c r="W103" s="10">
        <v>44.84</v>
      </c>
      <c r="X103" s="7"/>
    </row>
    <row r="104" spans="1:24" hidden="1" x14ac:dyDescent="0.25">
      <c r="A104" s="7">
        <v>2024</v>
      </c>
      <c r="B104" s="6" t="s">
        <v>125</v>
      </c>
      <c r="C104" s="6" t="s">
        <v>126</v>
      </c>
      <c r="D104" s="6" t="s">
        <v>127</v>
      </c>
      <c r="E104" s="8" t="s">
        <v>128</v>
      </c>
      <c r="F104" s="6" t="s">
        <v>172</v>
      </c>
      <c r="G104" s="6">
        <v>401</v>
      </c>
      <c r="H104" s="6">
        <v>1</v>
      </c>
      <c r="I104" s="6">
        <v>7</v>
      </c>
      <c r="J104" s="6">
        <v>4</v>
      </c>
      <c r="K104" s="6">
        <v>9</v>
      </c>
      <c r="L104" t="s">
        <v>252</v>
      </c>
      <c r="M104" s="8" t="s">
        <v>137</v>
      </c>
      <c r="N104" s="8" t="s">
        <v>57</v>
      </c>
      <c r="O104" s="9" t="s">
        <v>468</v>
      </c>
      <c r="P104" s="6">
        <v>11.72</v>
      </c>
      <c r="Q104" s="6">
        <v>12.2</v>
      </c>
      <c r="R104" s="6">
        <v>44</v>
      </c>
      <c r="S104" s="13">
        <f t="shared" si="7"/>
        <v>11.693363636363637</v>
      </c>
      <c r="T104" s="11">
        <f t="shared" si="8"/>
        <v>918.71307539793122</v>
      </c>
      <c r="U104" s="11">
        <f t="shared" si="9"/>
        <v>819.54779250484501</v>
      </c>
      <c r="V104" s="10">
        <v>72.63</v>
      </c>
      <c r="W104" s="10">
        <v>49.4</v>
      </c>
      <c r="X104" s="7"/>
    </row>
    <row r="105" spans="1:24" x14ac:dyDescent="0.25">
      <c r="A105" s="7">
        <v>2024</v>
      </c>
      <c r="B105" s="6" t="s">
        <v>27</v>
      </c>
      <c r="C105" s="6" t="s">
        <v>28</v>
      </c>
      <c r="D105" s="6" t="s">
        <v>29</v>
      </c>
      <c r="E105" s="6" t="s">
        <v>24</v>
      </c>
      <c r="F105" s="6" t="s">
        <v>44</v>
      </c>
      <c r="G105" s="6">
        <v>401</v>
      </c>
      <c r="H105" s="6">
        <v>1</v>
      </c>
      <c r="I105" s="6">
        <v>4</v>
      </c>
      <c r="J105" s="6">
        <v>1</v>
      </c>
      <c r="K105" s="6">
        <v>5</v>
      </c>
      <c r="L105" t="s">
        <v>23</v>
      </c>
      <c r="M105" s="8" t="s">
        <v>31</v>
      </c>
      <c r="N105" s="8" t="s">
        <v>62</v>
      </c>
      <c r="O105" s="9" t="s">
        <v>259</v>
      </c>
      <c r="P105" s="6">
        <v>10.99</v>
      </c>
      <c r="Q105" s="6">
        <v>17</v>
      </c>
      <c r="R105" s="6">
        <v>43.1</v>
      </c>
      <c r="S105" s="6">
        <v>10.37</v>
      </c>
      <c r="T105" s="6">
        <v>6786.6</v>
      </c>
      <c r="U105" s="11">
        <f t="shared" si="9"/>
        <v>6054.0588760035689</v>
      </c>
      <c r="V105" s="6">
        <v>72.05</v>
      </c>
      <c r="W105" s="6">
        <v>51.89</v>
      </c>
      <c r="X105" s="7">
        <v>1</v>
      </c>
    </row>
    <row r="106" spans="1:24" hidden="1" x14ac:dyDescent="0.25">
      <c r="A106" s="7">
        <v>2024</v>
      </c>
      <c r="B106" s="6" t="s">
        <v>90</v>
      </c>
      <c r="C106" s="6" t="s">
        <v>91</v>
      </c>
      <c r="D106" s="6" t="s">
        <v>92</v>
      </c>
      <c r="E106" s="6" t="s">
        <v>26</v>
      </c>
      <c r="F106" s="7" t="s">
        <v>117</v>
      </c>
      <c r="G106" s="7">
        <v>401</v>
      </c>
      <c r="H106" s="7">
        <v>1</v>
      </c>
      <c r="I106" s="7">
        <v>4</v>
      </c>
      <c r="J106" s="7">
        <v>1</v>
      </c>
      <c r="K106" s="7">
        <v>7</v>
      </c>
      <c r="L106" t="s">
        <v>252</v>
      </c>
      <c r="M106" s="14" t="s">
        <v>31</v>
      </c>
      <c r="N106" s="14" t="s">
        <v>61</v>
      </c>
      <c r="O106" s="9" t="s">
        <v>259</v>
      </c>
      <c r="P106" s="7">
        <v>9.39</v>
      </c>
      <c r="Q106" s="7">
        <v>14</v>
      </c>
      <c r="R106" s="7">
        <v>43.5</v>
      </c>
      <c r="S106" s="13">
        <f xml:space="preserve"> P106 * (1 - Q106 / 100) / (1 - 0.12)</f>
        <v>9.1765909090909084</v>
      </c>
      <c r="T106" s="11">
        <f>((10000 * S106 * 12% / 2.205)) / ((4.66 * 16) / 10.764)</f>
        <v>720.97766886700038</v>
      </c>
      <c r="U106" s="11">
        <f t="shared" si="9"/>
        <v>643.15581522479965</v>
      </c>
      <c r="V106" s="6">
        <v>73.69</v>
      </c>
      <c r="W106" s="6">
        <v>55.92</v>
      </c>
      <c r="X106" s="7"/>
    </row>
    <row r="107" spans="1:24" hidden="1" x14ac:dyDescent="0.25">
      <c r="A107" s="7">
        <v>2024</v>
      </c>
      <c r="B107" s="6" t="s">
        <v>125</v>
      </c>
      <c r="C107" s="6" t="s">
        <v>126</v>
      </c>
      <c r="D107" s="6" t="s">
        <v>127</v>
      </c>
      <c r="E107" s="8" t="s">
        <v>128</v>
      </c>
      <c r="F107" s="6" t="s">
        <v>173</v>
      </c>
      <c r="G107" s="6">
        <v>402</v>
      </c>
      <c r="H107" s="6">
        <v>2</v>
      </c>
      <c r="I107" s="6">
        <v>7</v>
      </c>
      <c r="J107" s="6">
        <v>4</v>
      </c>
      <c r="K107" s="6">
        <v>1</v>
      </c>
      <c r="L107" t="s">
        <v>252</v>
      </c>
      <c r="M107" s="8" t="s">
        <v>469</v>
      </c>
      <c r="N107" s="8" t="s">
        <v>469</v>
      </c>
      <c r="O107" s="8" t="s">
        <v>469</v>
      </c>
      <c r="P107" s="6">
        <v>11.87</v>
      </c>
      <c r="Q107" s="6">
        <v>11.9</v>
      </c>
      <c r="R107" s="6">
        <v>43.8</v>
      </c>
      <c r="S107" s="13">
        <f xml:space="preserve"> P107 * (1 - Q107 / 100) / (1 - 0.12)</f>
        <v>11.883488636363635</v>
      </c>
      <c r="T107" s="11">
        <f>((10000 * S107 * 12% / 2.205)) / ((4.66 * 16) / 10.764)</f>
        <v>933.65063561515103</v>
      </c>
      <c r="U107" s="11">
        <f t="shared" si="9"/>
        <v>832.8730023328734</v>
      </c>
      <c r="V107" s="10">
        <v>73.180000000000007</v>
      </c>
      <c r="W107" s="10">
        <v>50.73</v>
      </c>
      <c r="X107" s="7"/>
    </row>
    <row r="108" spans="1:24" x14ac:dyDescent="0.25">
      <c r="A108" s="7">
        <v>2024</v>
      </c>
      <c r="B108" s="6" t="s">
        <v>27</v>
      </c>
      <c r="C108" s="6" t="s">
        <v>28</v>
      </c>
      <c r="D108" s="6" t="s">
        <v>29</v>
      </c>
      <c r="E108" s="6" t="s">
        <v>24</v>
      </c>
      <c r="F108" s="6" t="s">
        <v>45</v>
      </c>
      <c r="G108" s="6">
        <v>402</v>
      </c>
      <c r="H108" s="6">
        <v>2</v>
      </c>
      <c r="I108" s="6">
        <v>4</v>
      </c>
      <c r="J108" s="6">
        <v>2</v>
      </c>
      <c r="K108" s="6">
        <v>5</v>
      </c>
      <c r="L108" t="s">
        <v>23</v>
      </c>
      <c r="M108" s="8" t="s">
        <v>31</v>
      </c>
      <c r="N108" s="8" t="s">
        <v>62</v>
      </c>
      <c r="O108" s="9" t="s">
        <v>259</v>
      </c>
      <c r="P108" s="6">
        <v>11.12</v>
      </c>
      <c r="Q108" s="6">
        <v>16.2</v>
      </c>
      <c r="R108" s="6">
        <v>43.5</v>
      </c>
      <c r="S108" s="6">
        <v>10.59</v>
      </c>
      <c r="T108" s="6">
        <v>6933.07</v>
      </c>
      <c r="U108" s="11">
        <f t="shared" si="9"/>
        <v>6184.7190008920606</v>
      </c>
      <c r="V108" s="6">
        <v>72.27</v>
      </c>
      <c r="W108" s="6">
        <v>51.63</v>
      </c>
      <c r="X108" s="7">
        <v>1</v>
      </c>
    </row>
    <row r="109" spans="1:24" hidden="1" x14ac:dyDescent="0.25">
      <c r="A109" s="7">
        <v>2024</v>
      </c>
      <c r="B109" s="6" t="s">
        <v>90</v>
      </c>
      <c r="C109" s="6" t="s">
        <v>91</v>
      </c>
      <c r="D109" s="6" t="s">
        <v>92</v>
      </c>
      <c r="E109" s="6" t="s">
        <v>26</v>
      </c>
      <c r="F109" s="7" t="s">
        <v>118</v>
      </c>
      <c r="G109" s="7">
        <v>402</v>
      </c>
      <c r="H109" s="7">
        <v>2</v>
      </c>
      <c r="I109" s="7">
        <v>4</v>
      </c>
      <c r="J109" s="7">
        <v>1</v>
      </c>
      <c r="K109" s="7">
        <v>8</v>
      </c>
      <c r="L109" t="s">
        <v>252</v>
      </c>
      <c r="M109" s="14" t="s">
        <v>33</v>
      </c>
      <c r="N109" s="14" t="s">
        <v>58</v>
      </c>
      <c r="O109" s="9" t="s">
        <v>467</v>
      </c>
      <c r="P109" s="7">
        <v>10.67</v>
      </c>
      <c r="Q109" s="7">
        <v>14.4</v>
      </c>
      <c r="R109" s="7">
        <v>43.7</v>
      </c>
      <c r="S109" s="13">
        <f xml:space="preserve"> P109 * (1 - Q109 / 100) / (1 - 0.12)</f>
        <v>10.379</v>
      </c>
      <c r="T109" s="11">
        <f>((10000 * S109 * 12% / 2.205)) / ((4.66 * 16) / 10.764)</f>
        <v>815.44740299553291</v>
      </c>
      <c r="U109" s="11">
        <f t="shared" si="9"/>
        <v>727.42854861332103</v>
      </c>
      <c r="V109" s="6">
        <v>74.58</v>
      </c>
      <c r="W109" s="6">
        <v>57.99</v>
      </c>
      <c r="X109" s="7"/>
    </row>
    <row r="110" spans="1:24" x14ac:dyDescent="0.25">
      <c r="A110" s="7">
        <v>2024</v>
      </c>
      <c r="B110" s="6" t="s">
        <v>27</v>
      </c>
      <c r="C110" s="6" t="s">
        <v>28</v>
      </c>
      <c r="D110" s="6" t="s">
        <v>29</v>
      </c>
      <c r="E110" s="6" t="s">
        <v>24</v>
      </c>
      <c r="F110" s="6" t="s">
        <v>46</v>
      </c>
      <c r="G110" s="6">
        <v>403</v>
      </c>
      <c r="H110" s="6">
        <v>3</v>
      </c>
      <c r="I110" s="6">
        <v>4</v>
      </c>
      <c r="J110" s="6">
        <v>2</v>
      </c>
      <c r="K110" s="6">
        <v>3</v>
      </c>
      <c r="L110" t="s">
        <v>23</v>
      </c>
      <c r="M110" s="8" t="s">
        <v>31</v>
      </c>
      <c r="N110" s="8" t="s">
        <v>58</v>
      </c>
      <c r="O110" s="9" t="s">
        <v>259</v>
      </c>
      <c r="P110" s="6">
        <v>10.6</v>
      </c>
      <c r="Q110" s="6">
        <v>16.100000000000001</v>
      </c>
      <c r="R110" s="6">
        <v>43.5</v>
      </c>
      <c r="S110" s="6">
        <v>10.11</v>
      </c>
      <c r="T110" s="6">
        <v>6616.74</v>
      </c>
      <c r="U110" s="11">
        <f t="shared" si="9"/>
        <v>5902.5334522747544</v>
      </c>
      <c r="V110" s="6">
        <v>72.5</v>
      </c>
      <c r="W110" s="6">
        <v>53.32</v>
      </c>
      <c r="X110" s="7">
        <v>1</v>
      </c>
    </row>
    <row r="111" spans="1:24" hidden="1" x14ac:dyDescent="0.25">
      <c r="A111" s="7">
        <v>2024</v>
      </c>
      <c r="B111" s="6" t="s">
        <v>90</v>
      </c>
      <c r="C111" s="6" t="s">
        <v>91</v>
      </c>
      <c r="D111" s="6" t="s">
        <v>92</v>
      </c>
      <c r="E111" s="6" t="s">
        <v>26</v>
      </c>
      <c r="F111" s="7" t="s">
        <v>119</v>
      </c>
      <c r="G111" s="7">
        <v>403</v>
      </c>
      <c r="H111" s="7">
        <v>3</v>
      </c>
      <c r="I111" s="7">
        <v>4</v>
      </c>
      <c r="J111" s="7">
        <v>2</v>
      </c>
      <c r="K111" s="7">
        <v>6</v>
      </c>
      <c r="L111" t="s">
        <v>252</v>
      </c>
      <c r="M111" s="14" t="s">
        <v>31</v>
      </c>
      <c r="N111" s="14" t="s">
        <v>59</v>
      </c>
      <c r="O111" s="9" t="s">
        <v>259</v>
      </c>
      <c r="P111" s="7">
        <v>10.039999999999999</v>
      </c>
      <c r="Q111" s="7">
        <v>13.9</v>
      </c>
      <c r="R111" s="7">
        <v>43.9</v>
      </c>
      <c r="S111" s="13">
        <f xml:space="preserve"> P111 * (1 - Q111 / 100) / (1 - 0.12)</f>
        <v>9.8232272727272729</v>
      </c>
      <c r="T111" s="11">
        <f>((10000 * S111 * 12% / 2.205)) / ((4.66 * 16) / 10.764)</f>
        <v>771.78197982275242</v>
      </c>
      <c r="U111" s="11">
        <f t="shared" si="9"/>
        <v>688.4763423931779</v>
      </c>
      <c r="V111" s="6">
        <v>73.77</v>
      </c>
      <c r="W111" s="6">
        <v>56.36</v>
      </c>
      <c r="X111" s="7"/>
    </row>
    <row r="112" spans="1:24" hidden="1" x14ac:dyDescent="0.25">
      <c r="A112" s="7">
        <v>2024</v>
      </c>
      <c r="B112" s="6" t="s">
        <v>125</v>
      </c>
      <c r="C112" s="6" t="s">
        <v>126</v>
      </c>
      <c r="D112" s="6" t="s">
        <v>127</v>
      </c>
      <c r="E112" s="8" t="s">
        <v>128</v>
      </c>
      <c r="F112" s="6" t="s">
        <v>174</v>
      </c>
      <c r="G112" s="6">
        <v>403</v>
      </c>
      <c r="H112" s="6">
        <v>3</v>
      </c>
      <c r="I112" s="6">
        <v>7</v>
      </c>
      <c r="J112" s="6">
        <v>4</v>
      </c>
      <c r="K112" s="6">
        <v>3</v>
      </c>
      <c r="L112" t="s">
        <v>252</v>
      </c>
      <c r="M112" s="8" t="s">
        <v>31</v>
      </c>
      <c r="N112" s="8" t="s">
        <v>58</v>
      </c>
      <c r="O112" s="9" t="s">
        <v>259</v>
      </c>
      <c r="P112" s="6">
        <v>10.39</v>
      </c>
      <c r="Q112" s="6">
        <v>12.1</v>
      </c>
      <c r="R112" s="6">
        <v>44.1</v>
      </c>
      <c r="S112" s="13">
        <f xml:space="preserve"> P112 * (1 - Q112 / 100) / (1 - 0.12)</f>
        <v>10.378193181818183</v>
      </c>
      <c r="T112" s="11">
        <f>((10000 * S112 * 12% / 2.205)) / ((4.66 * 16) / 10.764)</f>
        <v>815.38401367179722</v>
      </c>
      <c r="U112" s="11">
        <f t="shared" si="9"/>
        <v>727.37200149134458</v>
      </c>
      <c r="V112" s="10">
        <v>72.91</v>
      </c>
      <c r="W112" s="10">
        <v>52.35</v>
      </c>
      <c r="X112" s="7"/>
    </row>
    <row r="113" spans="1:24" hidden="1" x14ac:dyDescent="0.25">
      <c r="A113" s="7">
        <v>2024</v>
      </c>
      <c r="B113" s="6" t="s">
        <v>125</v>
      </c>
      <c r="C113" s="6" t="s">
        <v>126</v>
      </c>
      <c r="D113" s="6" t="s">
        <v>127</v>
      </c>
      <c r="E113" s="8" t="s">
        <v>128</v>
      </c>
      <c r="F113" s="6" t="s">
        <v>175</v>
      </c>
      <c r="G113" s="6">
        <v>404</v>
      </c>
      <c r="H113" s="6">
        <v>4</v>
      </c>
      <c r="I113" s="6">
        <v>7</v>
      </c>
      <c r="J113" s="6">
        <v>4</v>
      </c>
      <c r="K113" s="6">
        <v>12</v>
      </c>
      <c r="L113" t="s">
        <v>252</v>
      </c>
      <c r="M113" s="8" t="s">
        <v>137</v>
      </c>
      <c r="N113" s="8" t="s">
        <v>62</v>
      </c>
      <c r="O113" s="9" t="s">
        <v>468</v>
      </c>
      <c r="P113" s="6">
        <v>11.31</v>
      </c>
      <c r="Q113" s="6">
        <v>12.1</v>
      </c>
      <c r="R113" s="6">
        <v>44.4</v>
      </c>
      <c r="S113" s="13">
        <f xml:space="preserve"> P113 * (1 - Q113 / 100) / (1 - 0.12)</f>
        <v>11.297147727272726</v>
      </c>
      <c r="T113" s="11">
        <f>((10000 * S113 * 12% / 2.205)) / ((4.66 * 16) / 10.764)</f>
        <v>887.58356059942491</v>
      </c>
      <c r="U113" s="11">
        <f t="shared" si="9"/>
        <v>791.77837698432199</v>
      </c>
      <c r="V113" s="10">
        <v>72.680000000000007</v>
      </c>
      <c r="W113" s="10">
        <v>52.7</v>
      </c>
      <c r="X113" s="7"/>
    </row>
    <row r="114" spans="1:24" x14ac:dyDescent="0.25">
      <c r="A114" s="7">
        <v>2024</v>
      </c>
      <c r="B114" s="6" t="s">
        <v>27</v>
      </c>
      <c r="C114" s="6" t="s">
        <v>28</v>
      </c>
      <c r="D114" s="6" t="s">
        <v>29</v>
      </c>
      <c r="E114" s="6" t="s">
        <v>24</v>
      </c>
      <c r="F114" s="6" t="s">
        <v>47</v>
      </c>
      <c r="G114" s="6">
        <v>404</v>
      </c>
      <c r="H114" s="6">
        <v>4</v>
      </c>
      <c r="I114" s="6">
        <v>4</v>
      </c>
      <c r="J114" s="6">
        <v>3</v>
      </c>
      <c r="K114" s="6">
        <v>5</v>
      </c>
      <c r="L114" t="s">
        <v>23</v>
      </c>
      <c r="M114" s="8" t="s">
        <v>31</v>
      </c>
      <c r="N114" s="8" t="s">
        <v>62</v>
      </c>
      <c r="O114" s="9" t="s">
        <v>259</v>
      </c>
      <c r="P114" s="6">
        <v>9.7899999999999991</v>
      </c>
      <c r="Q114" s="6">
        <v>16.8</v>
      </c>
      <c r="R114" s="6">
        <v>43.2</v>
      </c>
      <c r="S114" s="6">
        <v>9.26</v>
      </c>
      <c r="T114" s="6">
        <v>6060.14</v>
      </c>
      <c r="U114" s="11">
        <f t="shared" si="9"/>
        <v>5406.0124888492419</v>
      </c>
      <c r="V114" s="6">
        <v>71.84</v>
      </c>
      <c r="W114" s="6">
        <v>51.31</v>
      </c>
      <c r="X114" s="7">
        <v>1</v>
      </c>
    </row>
    <row r="115" spans="1:24" hidden="1" x14ac:dyDescent="0.25">
      <c r="A115" s="7">
        <v>2024</v>
      </c>
      <c r="B115" s="6" t="s">
        <v>90</v>
      </c>
      <c r="C115" s="6" t="s">
        <v>91</v>
      </c>
      <c r="D115" s="6" t="s">
        <v>92</v>
      </c>
      <c r="E115" s="6" t="s">
        <v>26</v>
      </c>
      <c r="F115" s="7" t="s">
        <v>120</v>
      </c>
      <c r="G115" s="7">
        <v>404</v>
      </c>
      <c r="H115" s="7">
        <v>4</v>
      </c>
      <c r="I115" s="7">
        <v>4</v>
      </c>
      <c r="J115" s="7">
        <v>2</v>
      </c>
      <c r="K115" s="7">
        <v>3</v>
      </c>
      <c r="L115" t="s">
        <v>252</v>
      </c>
      <c r="M115" s="14" t="s">
        <v>31</v>
      </c>
      <c r="N115" s="14" t="s">
        <v>58</v>
      </c>
      <c r="O115" s="9" t="s">
        <v>259</v>
      </c>
      <c r="P115" s="7">
        <v>11.13</v>
      </c>
      <c r="Q115" s="7">
        <v>13.8</v>
      </c>
      <c r="R115" s="7">
        <v>43.9</v>
      </c>
      <c r="S115" s="13">
        <f t="shared" ref="S115:S129" si="10" xml:space="preserve"> P115 * (1 - Q115 / 100) / (1 - 0.12)</f>
        <v>10.90234090909091</v>
      </c>
      <c r="T115" s="11">
        <f t="shared" ref="T115:T129" si="11">((10000 * S115 * 12% / 2.205)) / ((4.66 * 16) / 10.764)</f>
        <v>856.5647539156123</v>
      </c>
      <c r="U115" s="11">
        <f t="shared" si="9"/>
        <v>764.1077198176738</v>
      </c>
      <c r="V115" s="6">
        <v>74.33</v>
      </c>
      <c r="W115" s="6">
        <v>57.98</v>
      </c>
      <c r="X115" s="7"/>
    </row>
    <row r="116" spans="1:24" hidden="1" x14ac:dyDescent="0.25">
      <c r="A116" s="7">
        <v>2024</v>
      </c>
      <c r="B116" s="6" t="s">
        <v>90</v>
      </c>
      <c r="C116" s="6" t="s">
        <v>91</v>
      </c>
      <c r="D116" s="6" t="s">
        <v>92</v>
      </c>
      <c r="E116" s="6" t="s">
        <v>26</v>
      </c>
      <c r="F116" s="7" t="s">
        <v>121</v>
      </c>
      <c r="G116" s="7">
        <v>405</v>
      </c>
      <c r="H116" s="7">
        <v>5</v>
      </c>
      <c r="I116" s="7">
        <v>4</v>
      </c>
      <c r="J116" s="7">
        <v>3</v>
      </c>
      <c r="K116" s="7">
        <v>7</v>
      </c>
      <c r="L116" t="s">
        <v>252</v>
      </c>
      <c r="M116" s="14" t="s">
        <v>31</v>
      </c>
      <c r="N116" s="14" t="s">
        <v>61</v>
      </c>
      <c r="O116" s="9" t="s">
        <v>259</v>
      </c>
      <c r="P116" s="7">
        <v>10.6</v>
      </c>
      <c r="Q116" s="7">
        <v>13.8</v>
      </c>
      <c r="R116" s="7">
        <v>43.8</v>
      </c>
      <c r="S116" s="13">
        <f t="shared" si="10"/>
        <v>10.383181818181818</v>
      </c>
      <c r="T116" s="11">
        <f t="shared" si="11"/>
        <v>815.77595611010668</v>
      </c>
      <c r="U116" s="11">
        <f t="shared" si="9"/>
        <v>727.72163792159381</v>
      </c>
      <c r="V116" s="6">
        <v>73.48</v>
      </c>
      <c r="W116" s="6">
        <v>54.56</v>
      </c>
      <c r="X116" s="7"/>
    </row>
    <row r="117" spans="1:24" hidden="1" x14ac:dyDescent="0.25">
      <c r="A117" s="7">
        <v>2024</v>
      </c>
      <c r="B117" s="6" t="s">
        <v>125</v>
      </c>
      <c r="C117" s="6" t="s">
        <v>126</v>
      </c>
      <c r="D117" s="6" t="s">
        <v>127</v>
      </c>
      <c r="E117" s="8" t="s">
        <v>128</v>
      </c>
      <c r="F117" s="6" t="s">
        <v>176</v>
      </c>
      <c r="G117" s="6">
        <v>405</v>
      </c>
      <c r="H117" s="6">
        <v>5</v>
      </c>
      <c r="I117" s="6">
        <v>7</v>
      </c>
      <c r="J117" s="6">
        <v>4</v>
      </c>
      <c r="K117" s="6">
        <v>4</v>
      </c>
      <c r="L117" t="s">
        <v>252</v>
      </c>
      <c r="M117" s="8" t="s">
        <v>31</v>
      </c>
      <c r="N117" s="8" t="s">
        <v>60</v>
      </c>
      <c r="O117" s="9" t="s">
        <v>259</v>
      </c>
      <c r="P117" s="6">
        <v>12.56</v>
      </c>
      <c r="Q117" s="6">
        <v>11.7</v>
      </c>
      <c r="R117" s="6">
        <v>43.8</v>
      </c>
      <c r="S117" s="13">
        <f t="shared" si="10"/>
        <v>12.602818181818183</v>
      </c>
      <c r="T117" s="11">
        <f t="shared" si="11"/>
        <v>990.16623535875522</v>
      </c>
      <c r="U117" s="11">
        <f t="shared" si="9"/>
        <v>883.28834554750688</v>
      </c>
      <c r="V117" s="10">
        <v>72.650000000000006</v>
      </c>
      <c r="W117" s="10">
        <v>46.58</v>
      </c>
      <c r="X117" s="7"/>
    </row>
    <row r="118" spans="1:24" hidden="1" x14ac:dyDescent="0.25">
      <c r="A118" s="7">
        <v>2024</v>
      </c>
      <c r="B118" s="6" t="s">
        <v>90</v>
      </c>
      <c r="C118" s="6" t="s">
        <v>91</v>
      </c>
      <c r="D118" s="6" t="s">
        <v>92</v>
      </c>
      <c r="E118" s="6" t="s">
        <v>26</v>
      </c>
      <c r="F118" s="7" t="s">
        <v>122</v>
      </c>
      <c r="G118" s="7">
        <v>406</v>
      </c>
      <c r="H118" s="7">
        <v>6</v>
      </c>
      <c r="I118" s="7">
        <v>4</v>
      </c>
      <c r="J118" s="7">
        <v>3</v>
      </c>
      <c r="K118" s="7">
        <v>1</v>
      </c>
      <c r="L118" t="s">
        <v>252</v>
      </c>
      <c r="M118" s="8" t="s">
        <v>469</v>
      </c>
      <c r="N118" s="8" t="s">
        <v>469</v>
      </c>
      <c r="O118" s="8" t="s">
        <v>469</v>
      </c>
      <c r="P118" s="7">
        <v>10.68</v>
      </c>
      <c r="Q118" s="7">
        <v>13.6</v>
      </c>
      <c r="R118" s="7">
        <v>44.1</v>
      </c>
      <c r="S118" s="13">
        <f t="shared" si="10"/>
        <v>10.485818181818182</v>
      </c>
      <c r="T118" s="11">
        <f t="shared" si="11"/>
        <v>823.83979233519392</v>
      </c>
      <c r="U118" s="11">
        <f t="shared" si="9"/>
        <v>734.91506898768409</v>
      </c>
      <c r="V118" s="6">
        <v>73.62</v>
      </c>
      <c r="W118" s="6">
        <v>53.33</v>
      </c>
      <c r="X118" s="7"/>
    </row>
    <row r="119" spans="1:24" hidden="1" x14ac:dyDescent="0.25">
      <c r="A119" s="7">
        <v>2024</v>
      </c>
      <c r="B119" s="6" t="s">
        <v>125</v>
      </c>
      <c r="C119" s="6" t="s">
        <v>126</v>
      </c>
      <c r="D119" s="6" t="s">
        <v>127</v>
      </c>
      <c r="E119" s="8" t="s">
        <v>128</v>
      </c>
      <c r="F119" s="6" t="s">
        <v>177</v>
      </c>
      <c r="G119" s="6">
        <v>406</v>
      </c>
      <c r="H119" s="6">
        <v>6</v>
      </c>
      <c r="I119" s="6">
        <v>7</v>
      </c>
      <c r="J119" s="6">
        <v>4</v>
      </c>
      <c r="K119" s="6">
        <v>5</v>
      </c>
      <c r="L119" t="s">
        <v>252</v>
      </c>
      <c r="M119" s="8" t="s">
        <v>31</v>
      </c>
      <c r="N119" s="8" t="s">
        <v>62</v>
      </c>
      <c r="O119" s="9" t="s">
        <v>259</v>
      </c>
      <c r="P119" s="6">
        <v>11.52</v>
      </c>
      <c r="Q119" s="6">
        <v>11.7</v>
      </c>
      <c r="R119" s="6">
        <v>44.3</v>
      </c>
      <c r="S119" s="13">
        <f t="shared" si="10"/>
        <v>11.559272727272727</v>
      </c>
      <c r="T119" s="11">
        <f t="shared" si="11"/>
        <v>908.17794835452719</v>
      </c>
      <c r="U119" s="11">
        <f t="shared" si="9"/>
        <v>810.14982012000644</v>
      </c>
      <c r="V119" s="10">
        <v>72.760000000000005</v>
      </c>
      <c r="W119" s="10">
        <v>49.28</v>
      </c>
      <c r="X119" s="7"/>
    </row>
    <row r="120" spans="1:24" hidden="1" x14ac:dyDescent="0.25">
      <c r="A120" s="7">
        <v>2024</v>
      </c>
      <c r="B120" s="6" t="s">
        <v>90</v>
      </c>
      <c r="C120" s="6" t="s">
        <v>91</v>
      </c>
      <c r="D120" s="6" t="s">
        <v>92</v>
      </c>
      <c r="E120" s="6" t="s">
        <v>26</v>
      </c>
      <c r="F120" s="7" t="s">
        <v>123</v>
      </c>
      <c r="G120" s="7">
        <v>407</v>
      </c>
      <c r="H120" s="7">
        <v>7</v>
      </c>
      <c r="I120" s="7">
        <v>4</v>
      </c>
      <c r="J120" s="7">
        <v>4</v>
      </c>
      <c r="K120" s="7">
        <v>6</v>
      </c>
      <c r="L120" t="s">
        <v>252</v>
      </c>
      <c r="M120" s="14" t="s">
        <v>31</v>
      </c>
      <c r="N120" s="14" t="s">
        <v>59</v>
      </c>
      <c r="O120" s="9" t="s">
        <v>259</v>
      </c>
      <c r="P120" s="7">
        <v>10.4</v>
      </c>
      <c r="Q120" s="7">
        <v>12.9</v>
      </c>
      <c r="R120" s="7">
        <v>44.4</v>
      </c>
      <c r="S120" s="13">
        <f t="shared" si="10"/>
        <v>10.293636363636365</v>
      </c>
      <c r="T120" s="11">
        <f t="shared" si="11"/>
        <v>808.7406339828168</v>
      </c>
      <c r="U120" s="11">
        <f t="shared" si="9"/>
        <v>721.44570382053234</v>
      </c>
      <c r="V120" s="6">
        <v>73.680000000000007</v>
      </c>
      <c r="W120" s="6">
        <v>54.79</v>
      </c>
      <c r="X120" s="7"/>
    </row>
    <row r="121" spans="1:24" hidden="1" x14ac:dyDescent="0.25">
      <c r="A121" s="7">
        <v>2024</v>
      </c>
      <c r="B121" s="6" t="s">
        <v>125</v>
      </c>
      <c r="C121" s="6" t="s">
        <v>126</v>
      </c>
      <c r="D121" s="6" t="s">
        <v>127</v>
      </c>
      <c r="E121" s="8" t="s">
        <v>128</v>
      </c>
      <c r="F121" s="6" t="s">
        <v>178</v>
      </c>
      <c r="G121" s="6">
        <v>407</v>
      </c>
      <c r="H121" s="6">
        <v>7</v>
      </c>
      <c r="I121" s="6">
        <v>7</v>
      </c>
      <c r="J121" s="6">
        <v>4</v>
      </c>
      <c r="K121" s="6">
        <v>2</v>
      </c>
      <c r="L121" t="s">
        <v>252</v>
      </c>
      <c r="M121" s="8" t="s">
        <v>31</v>
      </c>
      <c r="N121" s="8" t="s">
        <v>57</v>
      </c>
      <c r="O121" s="9" t="s">
        <v>259</v>
      </c>
      <c r="P121" s="6">
        <v>9.9700000000000006</v>
      </c>
      <c r="Q121" s="6">
        <v>11</v>
      </c>
      <c r="R121" s="6">
        <v>44.5</v>
      </c>
      <c r="S121" s="13">
        <f t="shared" si="10"/>
        <v>10.083295454545455</v>
      </c>
      <c r="T121" s="11">
        <f t="shared" si="11"/>
        <v>792.21476944269705</v>
      </c>
      <c r="U121" s="11">
        <f t="shared" si="9"/>
        <v>706.70363018973865</v>
      </c>
      <c r="V121" s="10">
        <v>72.27</v>
      </c>
      <c r="W121" s="10">
        <v>47.6</v>
      </c>
      <c r="X121" s="7"/>
    </row>
    <row r="122" spans="1:24" hidden="1" x14ac:dyDescent="0.25">
      <c r="A122" s="7">
        <v>2024</v>
      </c>
      <c r="B122" s="6" t="s">
        <v>90</v>
      </c>
      <c r="C122" s="6" t="s">
        <v>91</v>
      </c>
      <c r="D122" s="6" t="s">
        <v>92</v>
      </c>
      <c r="E122" s="6" t="s">
        <v>26</v>
      </c>
      <c r="F122" s="7" t="s">
        <v>124</v>
      </c>
      <c r="G122" s="7">
        <v>408</v>
      </c>
      <c r="H122" s="7">
        <v>8</v>
      </c>
      <c r="I122" s="7">
        <v>4</v>
      </c>
      <c r="J122" s="7">
        <v>4</v>
      </c>
      <c r="K122" s="7">
        <v>8</v>
      </c>
      <c r="L122" t="s">
        <v>252</v>
      </c>
      <c r="M122" s="14" t="s">
        <v>33</v>
      </c>
      <c r="N122" s="14" t="s">
        <v>58</v>
      </c>
      <c r="O122" s="9" t="s">
        <v>467</v>
      </c>
      <c r="P122" s="7">
        <v>12.06</v>
      </c>
      <c r="Q122" s="7">
        <v>12.5</v>
      </c>
      <c r="R122" s="7">
        <v>44.7</v>
      </c>
      <c r="S122" s="13">
        <f t="shared" si="10"/>
        <v>11.991477272727273</v>
      </c>
      <c r="T122" s="11">
        <f t="shared" si="11"/>
        <v>942.13498411459784</v>
      </c>
      <c r="U122" s="11">
        <f t="shared" si="9"/>
        <v>840.44155585601948</v>
      </c>
      <c r="V122" s="6">
        <v>74.28</v>
      </c>
      <c r="W122" s="6">
        <v>54.78</v>
      </c>
      <c r="X122" s="7"/>
    </row>
    <row r="123" spans="1:24" hidden="1" x14ac:dyDescent="0.25">
      <c r="A123" s="7">
        <v>2024</v>
      </c>
      <c r="B123" s="6" t="s">
        <v>125</v>
      </c>
      <c r="C123" s="6" t="s">
        <v>126</v>
      </c>
      <c r="D123" s="6" t="s">
        <v>127</v>
      </c>
      <c r="E123" s="8" t="s">
        <v>128</v>
      </c>
      <c r="F123" s="6" t="s">
        <v>179</v>
      </c>
      <c r="G123" s="6">
        <v>408</v>
      </c>
      <c r="H123" s="6">
        <v>1</v>
      </c>
      <c r="I123" s="6">
        <v>8</v>
      </c>
      <c r="J123" s="6">
        <v>4</v>
      </c>
      <c r="K123" s="6">
        <v>8</v>
      </c>
      <c r="L123" t="s">
        <v>252</v>
      </c>
      <c r="M123" s="8" t="s">
        <v>33</v>
      </c>
      <c r="N123" s="8" t="s">
        <v>58</v>
      </c>
      <c r="O123" s="9" t="s">
        <v>467</v>
      </c>
      <c r="P123" s="6">
        <v>10.24</v>
      </c>
      <c r="Q123" s="6">
        <v>11.5</v>
      </c>
      <c r="R123" s="6">
        <v>43.9</v>
      </c>
      <c r="S123" s="13">
        <f t="shared" si="10"/>
        <v>10.298181818181819</v>
      </c>
      <c r="T123" s="11">
        <f t="shared" si="11"/>
        <v>809.09775693344056</v>
      </c>
      <c r="U123" s="11">
        <f t="shared" si="9"/>
        <v>721.76427915561158</v>
      </c>
      <c r="V123" s="10"/>
      <c r="W123" s="10"/>
      <c r="X123" s="7"/>
    </row>
    <row r="124" spans="1:24" hidden="1" x14ac:dyDescent="0.25">
      <c r="A124" s="7">
        <v>2024</v>
      </c>
      <c r="B124" s="6" t="s">
        <v>125</v>
      </c>
      <c r="C124" s="6" t="s">
        <v>126</v>
      </c>
      <c r="D124" s="6" t="s">
        <v>127</v>
      </c>
      <c r="E124" s="8" t="s">
        <v>128</v>
      </c>
      <c r="F124" s="6" t="s">
        <v>180</v>
      </c>
      <c r="G124" s="6">
        <v>409</v>
      </c>
      <c r="H124" s="6">
        <v>2</v>
      </c>
      <c r="I124" s="6">
        <v>8</v>
      </c>
      <c r="J124" s="6">
        <v>4</v>
      </c>
      <c r="K124" s="6">
        <v>14</v>
      </c>
      <c r="L124" t="s">
        <v>252</v>
      </c>
      <c r="M124" s="8" t="s">
        <v>137</v>
      </c>
      <c r="N124" s="8" t="s">
        <v>61</v>
      </c>
      <c r="O124" s="9" t="s">
        <v>468</v>
      </c>
      <c r="P124" s="6">
        <v>10.34</v>
      </c>
      <c r="Q124" s="6">
        <v>12.2</v>
      </c>
      <c r="R124" s="6">
        <v>44.7</v>
      </c>
      <c r="S124" s="13">
        <f t="shared" si="10"/>
        <v>10.3165</v>
      </c>
      <c r="T124" s="11">
        <f t="shared" si="11"/>
        <v>810.5369624244546</v>
      </c>
      <c r="U124" s="11">
        <f t="shared" si="9"/>
        <v>723.04813775598086</v>
      </c>
      <c r="V124" s="10">
        <v>72.88</v>
      </c>
      <c r="W124" s="10">
        <v>51.02</v>
      </c>
      <c r="X124" s="7"/>
    </row>
    <row r="125" spans="1:24" hidden="1" x14ac:dyDescent="0.25">
      <c r="A125" s="7">
        <v>2024</v>
      </c>
      <c r="B125" s="6" t="s">
        <v>125</v>
      </c>
      <c r="C125" s="6" t="s">
        <v>126</v>
      </c>
      <c r="D125" s="6" t="s">
        <v>127</v>
      </c>
      <c r="E125" s="8" t="s">
        <v>128</v>
      </c>
      <c r="F125" s="6" t="s">
        <v>181</v>
      </c>
      <c r="G125" s="6">
        <v>410</v>
      </c>
      <c r="H125" s="6">
        <v>3</v>
      </c>
      <c r="I125" s="6">
        <v>8</v>
      </c>
      <c r="J125" s="6">
        <v>4</v>
      </c>
      <c r="K125" s="6">
        <v>7</v>
      </c>
      <c r="L125" t="s">
        <v>252</v>
      </c>
      <c r="M125" s="8" t="s">
        <v>31</v>
      </c>
      <c r="N125" s="8" t="s">
        <v>61</v>
      </c>
      <c r="O125" s="9" t="s">
        <v>259</v>
      </c>
      <c r="P125" s="6">
        <v>9.34</v>
      </c>
      <c r="Q125" s="6">
        <v>12.4</v>
      </c>
      <c r="R125" s="6">
        <v>43.5</v>
      </c>
      <c r="S125" s="13">
        <f t="shared" si="10"/>
        <v>9.2975454545454532</v>
      </c>
      <c r="T125" s="11">
        <f t="shared" si="11"/>
        <v>730.48071058310154</v>
      </c>
      <c r="U125" s="11">
        <f t="shared" si="9"/>
        <v>651.63310489125922</v>
      </c>
      <c r="V125" s="10">
        <v>72.48</v>
      </c>
      <c r="W125" s="10">
        <v>51.38</v>
      </c>
      <c r="X125" s="7"/>
    </row>
    <row r="126" spans="1:24" hidden="1" x14ac:dyDescent="0.25">
      <c r="A126" s="7">
        <v>2024</v>
      </c>
      <c r="B126" s="6" t="s">
        <v>125</v>
      </c>
      <c r="C126" s="6" t="s">
        <v>126</v>
      </c>
      <c r="D126" s="6" t="s">
        <v>127</v>
      </c>
      <c r="E126" s="8" t="s">
        <v>128</v>
      </c>
      <c r="F126" s="6" t="s">
        <v>182</v>
      </c>
      <c r="G126" s="6">
        <v>411</v>
      </c>
      <c r="H126" s="6">
        <v>4</v>
      </c>
      <c r="I126" s="6">
        <v>8</v>
      </c>
      <c r="J126" s="6">
        <v>4</v>
      </c>
      <c r="K126" s="6">
        <v>6</v>
      </c>
      <c r="L126" t="s">
        <v>252</v>
      </c>
      <c r="M126" s="8" t="s">
        <v>31</v>
      </c>
      <c r="N126" s="8" t="s">
        <v>59</v>
      </c>
      <c r="O126" s="9" t="s">
        <v>259</v>
      </c>
      <c r="P126" s="6">
        <v>9.9600000000000009</v>
      </c>
      <c r="Q126" s="6">
        <v>11.9</v>
      </c>
      <c r="R126" s="6">
        <v>44</v>
      </c>
      <c r="S126" s="13">
        <f t="shared" si="10"/>
        <v>9.971318181818182</v>
      </c>
      <c r="T126" s="11">
        <f t="shared" si="11"/>
        <v>783.41704555407796</v>
      </c>
      <c r="U126" s="11">
        <f t="shared" si="9"/>
        <v>698.85552681006061</v>
      </c>
      <c r="V126" s="10">
        <v>72.040000000000006</v>
      </c>
      <c r="W126" s="10">
        <v>50.41</v>
      </c>
      <c r="X126" s="7"/>
    </row>
    <row r="127" spans="1:24" hidden="1" x14ac:dyDescent="0.25">
      <c r="A127" s="7">
        <v>2024</v>
      </c>
      <c r="B127" s="6" t="s">
        <v>125</v>
      </c>
      <c r="C127" s="6" t="s">
        <v>126</v>
      </c>
      <c r="D127" s="6" t="s">
        <v>127</v>
      </c>
      <c r="E127" s="8" t="s">
        <v>128</v>
      </c>
      <c r="F127" s="6" t="s">
        <v>183</v>
      </c>
      <c r="G127" s="6">
        <v>412</v>
      </c>
      <c r="H127" s="6">
        <v>5</v>
      </c>
      <c r="I127" s="6">
        <v>8</v>
      </c>
      <c r="J127" s="6">
        <v>4</v>
      </c>
      <c r="K127" s="6">
        <v>11</v>
      </c>
      <c r="L127" t="s">
        <v>252</v>
      </c>
      <c r="M127" s="8" t="s">
        <v>137</v>
      </c>
      <c r="N127" s="8" t="s">
        <v>60</v>
      </c>
      <c r="O127" s="9" t="s">
        <v>468</v>
      </c>
      <c r="P127" s="6">
        <v>10.68</v>
      </c>
      <c r="Q127" s="6">
        <v>10.9</v>
      </c>
      <c r="R127" s="6">
        <v>44.9</v>
      </c>
      <c r="S127" s="13">
        <f t="shared" si="10"/>
        <v>10.813499999999999</v>
      </c>
      <c r="T127" s="11">
        <f t="shared" si="11"/>
        <v>849.58478584566853</v>
      </c>
      <c r="U127" s="11">
        <f t="shared" si="9"/>
        <v>757.88116489354911</v>
      </c>
      <c r="V127" s="10">
        <v>72.28</v>
      </c>
      <c r="W127" s="10">
        <v>46.26</v>
      </c>
      <c r="X127" s="7"/>
    </row>
    <row r="128" spans="1:24" hidden="1" x14ac:dyDescent="0.25">
      <c r="A128" s="7">
        <v>2024</v>
      </c>
      <c r="B128" s="6" t="s">
        <v>125</v>
      </c>
      <c r="C128" s="6" t="s">
        <v>126</v>
      </c>
      <c r="D128" s="6" t="s">
        <v>127</v>
      </c>
      <c r="E128" s="8" t="s">
        <v>128</v>
      </c>
      <c r="F128" s="6" t="s">
        <v>184</v>
      </c>
      <c r="G128" s="6">
        <v>413</v>
      </c>
      <c r="H128" s="6">
        <v>6</v>
      </c>
      <c r="I128" s="6">
        <v>8</v>
      </c>
      <c r="J128" s="6">
        <v>4</v>
      </c>
      <c r="K128" s="6">
        <v>10</v>
      </c>
      <c r="L128" t="s">
        <v>252</v>
      </c>
      <c r="M128" s="8" t="s">
        <v>137</v>
      </c>
      <c r="N128" s="8" t="s">
        <v>58</v>
      </c>
      <c r="O128" s="9" t="s">
        <v>468</v>
      </c>
      <c r="P128" s="6">
        <v>10.57</v>
      </c>
      <c r="Q128" s="6">
        <v>12.4</v>
      </c>
      <c r="R128" s="6">
        <v>43.8</v>
      </c>
      <c r="S128" s="13">
        <f t="shared" si="10"/>
        <v>10.521954545454546</v>
      </c>
      <c r="T128" s="11">
        <f t="shared" si="11"/>
        <v>826.67891979265357</v>
      </c>
      <c r="U128" s="11">
        <f t="shared" si="9"/>
        <v>737.44774290156431</v>
      </c>
      <c r="V128" s="10">
        <v>71.92</v>
      </c>
      <c r="W128" s="10">
        <v>46.28</v>
      </c>
      <c r="X128" s="7"/>
    </row>
    <row r="129" spans="1:24" hidden="1" x14ac:dyDescent="0.25">
      <c r="A129" s="7">
        <v>2024</v>
      </c>
      <c r="B129" s="6" t="s">
        <v>125</v>
      </c>
      <c r="C129" s="6" t="s">
        <v>126</v>
      </c>
      <c r="D129" s="6" t="s">
        <v>127</v>
      </c>
      <c r="E129" s="8" t="s">
        <v>128</v>
      </c>
      <c r="F129" s="6" t="s">
        <v>185</v>
      </c>
      <c r="G129" s="6">
        <v>414</v>
      </c>
      <c r="H129" s="6">
        <v>7</v>
      </c>
      <c r="I129" s="6">
        <v>8</v>
      </c>
      <c r="J129" s="6">
        <v>4</v>
      </c>
      <c r="K129" s="6">
        <v>13</v>
      </c>
      <c r="L129" t="s">
        <v>252</v>
      </c>
      <c r="M129" s="8" t="s">
        <v>137</v>
      </c>
      <c r="N129" s="8" t="s">
        <v>59</v>
      </c>
      <c r="O129" s="9" t="s">
        <v>468</v>
      </c>
      <c r="P129" s="6">
        <v>11.4</v>
      </c>
      <c r="Q129" s="6">
        <v>12.6</v>
      </c>
      <c r="R129" s="6">
        <v>53.1</v>
      </c>
      <c r="S129" s="13">
        <f t="shared" si="10"/>
        <v>11.322272727272727</v>
      </c>
      <c r="T129" s="11">
        <f t="shared" si="11"/>
        <v>889.55755770899862</v>
      </c>
      <c r="U129" s="11">
        <f t="shared" si="9"/>
        <v>793.53930214897287</v>
      </c>
      <c r="V129" s="10">
        <v>70.67</v>
      </c>
      <c r="W129" s="10">
        <v>46.22</v>
      </c>
      <c r="X129" s="7"/>
    </row>
    <row r="130" spans="1:24" x14ac:dyDescent="0.25">
      <c r="A130" s="7">
        <v>2024</v>
      </c>
      <c r="B130" s="6" t="s">
        <v>27</v>
      </c>
      <c r="C130" s="6" t="s">
        <v>28</v>
      </c>
      <c r="D130" s="6" t="s">
        <v>29</v>
      </c>
      <c r="E130" s="6" t="s">
        <v>24</v>
      </c>
      <c r="F130" s="6" t="s">
        <v>48</v>
      </c>
      <c r="G130" s="6">
        <v>501</v>
      </c>
      <c r="H130" s="6">
        <v>1</v>
      </c>
      <c r="I130" s="6">
        <v>5</v>
      </c>
      <c r="J130" s="6">
        <v>1</v>
      </c>
      <c r="K130" s="6">
        <v>7</v>
      </c>
      <c r="L130" t="s">
        <v>23</v>
      </c>
      <c r="M130" s="8" t="s">
        <v>31</v>
      </c>
      <c r="N130" s="8" t="s">
        <v>61</v>
      </c>
      <c r="O130" s="9" t="s">
        <v>259</v>
      </c>
      <c r="P130" s="6">
        <v>10.98</v>
      </c>
      <c r="Q130" s="6">
        <v>17</v>
      </c>
      <c r="R130" s="6">
        <v>43</v>
      </c>
      <c r="S130" s="6">
        <v>10.36</v>
      </c>
      <c r="T130" s="6">
        <v>6780.43</v>
      </c>
      <c r="U130" s="11">
        <f t="shared" si="9"/>
        <v>6048.5548617305976</v>
      </c>
      <c r="V130" s="6">
        <v>70.61</v>
      </c>
      <c r="W130" s="6">
        <v>49.58</v>
      </c>
      <c r="X130" s="7">
        <v>0</v>
      </c>
    </row>
    <row r="131" spans="1:24" x14ac:dyDescent="0.25">
      <c r="A131" s="7">
        <v>2024</v>
      </c>
      <c r="B131" s="6" t="s">
        <v>27</v>
      </c>
      <c r="C131" s="6" t="s">
        <v>28</v>
      </c>
      <c r="D131" s="6" t="s">
        <v>29</v>
      </c>
      <c r="E131" s="6" t="s">
        <v>24</v>
      </c>
      <c r="F131" s="6" t="s">
        <v>49</v>
      </c>
      <c r="G131" s="6">
        <v>502</v>
      </c>
      <c r="H131" s="6">
        <v>2</v>
      </c>
      <c r="I131" s="6">
        <v>5</v>
      </c>
      <c r="J131" s="6">
        <v>2</v>
      </c>
      <c r="K131" s="6">
        <v>1</v>
      </c>
      <c r="L131" t="s">
        <v>23</v>
      </c>
      <c r="M131" s="8" t="s">
        <v>469</v>
      </c>
      <c r="N131" s="8" t="s">
        <v>469</v>
      </c>
      <c r="O131" s="8" t="s">
        <v>469</v>
      </c>
      <c r="P131" s="6">
        <v>10.71</v>
      </c>
      <c r="Q131" s="6">
        <v>16.100000000000001</v>
      </c>
      <c r="R131" s="6">
        <v>43.5</v>
      </c>
      <c r="S131" s="6">
        <v>10.210000000000001</v>
      </c>
      <c r="T131" s="6">
        <v>6685.41</v>
      </c>
      <c r="U131" s="11">
        <f t="shared" ref="U131:U137" si="12">T131/1.121</f>
        <v>5963.7912578055302</v>
      </c>
      <c r="V131" s="6">
        <v>71.489999999999995</v>
      </c>
      <c r="W131" s="6">
        <v>49.31</v>
      </c>
      <c r="X131" s="7">
        <v>1</v>
      </c>
    </row>
    <row r="132" spans="1:24" x14ac:dyDescent="0.25">
      <c r="A132" s="7">
        <v>2024</v>
      </c>
      <c r="B132" s="6" t="s">
        <v>27</v>
      </c>
      <c r="C132" s="6" t="s">
        <v>28</v>
      </c>
      <c r="D132" s="6" t="s">
        <v>29</v>
      </c>
      <c r="E132" s="6" t="s">
        <v>24</v>
      </c>
      <c r="F132" s="6" t="s">
        <v>50</v>
      </c>
      <c r="G132" s="6">
        <v>503</v>
      </c>
      <c r="H132" s="6">
        <v>3</v>
      </c>
      <c r="I132" s="6">
        <v>5</v>
      </c>
      <c r="J132" s="6">
        <v>3</v>
      </c>
      <c r="K132" s="6">
        <v>3</v>
      </c>
      <c r="L132" t="s">
        <v>23</v>
      </c>
      <c r="M132" s="8" t="s">
        <v>31</v>
      </c>
      <c r="N132" s="8" t="s">
        <v>58</v>
      </c>
      <c r="O132" s="9" t="s">
        <v>259</v>
      </c>
      <c r="P132" s="6">
        <v>10.69</v>
      </c>
      <c r="Q132" s="6">
        <v>15.8</v>
      </c>
      <c r="R132" s="6">
        <v>43.6</v>
      </c>
      <c r="S132" s="6">
        <v>10.23</v>
      </c>
      <c r="T132" s="6">
        <v>6696.78</v>
      </c>
      <c r="U132" s="11">
        <f t="shared" si="12"/>
        <v>5973.9339875111509</v>
      </c>
      <c r="V132" s="6">
        <v>71.02</v>
      </c>
      <c r="W132" s="6">
        <v>49.92</v>
      </c>
      <c r="X132" s="7">
        <v>0</v>
      </c>
    </row>
    <row r="133" spans="1:24" x14ac:dyDescent="0.25">
      <c r="A133" s="7">
        <v>2024</v>
      </c>
      <c r="B133" s="6" t="s">
        <v>27</v>
      </c>
      <c r="C133" s="6" t="s">
        <v>28</v>
      </c>
      <c r="D133" s="6" t="s">
        <v>29</v>
      </c>
      <c r="E133" s="6" t="s">
        <v>24</v>
      </c>
      <c r="F133" s="6" t="s">
        <v>51</v>
      </c>
      <c r="G133" s="6">
        <v>504</v>
      </c>
      <c r="H133" s="6">
        <v>4</v>
      </c>
      <c r="I133" s="6">
        <v>5</v>
      </c>
      <c r="J133" s="6">
        <v>3</v>
      </c>
      <c r="K133" s="6">
        <v>1</v>
      </c>
      <c r="L133" t="s">
        <v>23</v>
      </c>
      <c r="M133" s="8" t="s">
        <v>469</v>
      </c>
      <c r="N133" s="8" t="s">
        <v>469</v>
      </c>
      <c r="O133" s="8" t="s">
        <v>469</v>
      </c>
      <c r="P133" s="6">
        <v>10.220000000000001</v>
      </c>
      <c r="Q133" s="6">
        <v>16.5</v>
      </c>
      <c r="R133" s="6">
        <v>43.4</v>
      </c>
      <c r="S133" s="6">
        <v>9.6999999999999993</v>
      </c>
      <c r="T133" s="6">
        <v>6349.13</v>
      </c>
      <c r="U133" s="11">
        <f t="shared" si="12"/>
        <v>5663.8090990187338</v>
      </c>
      <c r="V133" s="6">
        <v>70.39</v>
      </c>
      <c r="W133" s="6">
        <v>46.57</v>
      </c>
      <c r="X133" s="7">
        <v>1</v>
      </c>
    </row>
    <row r="134" spans="1:24" x14ac:dyDescent="0.25">
      <c r="A134" s="7">
        <v>2024</v>
      </c>
      <c r="B134" s="6" t="s">
        <v>27</v>
      </c>
      <c r="C134" s="6" t="s">
        <v>28</v>
      </c>
      <c r="D134" s="6" t="s">
        <v>29</v>
      </c>
      <c r="E134" s="6" t="s">
        <v>24</v>
      </c>
      <c r="F134" s="6" t="s">
        <v>52</v>
      </c>
      <c r="G134" s="6">
        <v>601</v>
      </c>
      <c r="H134" s="6">
        <v>1</v>
      </c>
      <c r="I134" s="6">
        <v>6</v>
      </c>
      <c r="J134" s="6">
        <v>1</v>
      </c>
      <c r="K134" s="6">
        <v>6</v>
      </c>
      <c r="L134" t="s">
        <v>23</v>
      </c>
      <c r="M134" s="8" t="s">
        <v>31</v>
      </c>
      <c r="N134" s="8" t="s">
        <v>59</v>
      </c>
      <c r="O134" s="9" t="s">
        <v>259</v>
      </c>
      <c r="P134" s="6">
        <v>10.4</v>
      </c>
      <c r="Q134" s="6">
        <v>16.899999999999999</v>
      </c>
      <c r="R134" s="6">
        <v>43.1</v>
      </c>
      <c r="S134" s="6">
        <v>9.82</v>
      </c>
      <c r="T134" s="6">
        <v>6430</v>
      </c>
      <c r="U134" s="11">
        <f t="shared" si="12"/>
        <v>5735.9500446030333</v>
      </c>
      <c r="V134" s="6">
        <v>70.48</v>
      </c>
      <c r="W134" s="6">
        <v>48.67</v>
      </c>
      <c r="X134" s="7">
        <v>1</v>
      </c>
    </row>
    <row r="135" spans="1:24" x14ac:dyDescent="0.25">
      <c r="A135" s="7">
        <v>2024</v>
      </c>
      <c r="B135" s="6" t="s">
        <v>27</v>
      </c>
      <c r="C135" s="6" t="s">
        <v>28</v>
      </c>
      <c r="D135" s="6" t="s">
        <v>29</v>
      </c>
      <c r="E135" s="6" t="s">
        <v>24</v>
      </c>
      <c r="F135" s="6" t="s">
        <v>53</v>
      </c>
      <c r="G135" s="6">
        <v>602</v>
      </c>
      <c r="H135" s="6">
        <v>2</v>
      </c>
      <c r="I135" s="6">
        <v>6</v>
      </c>
      <c r="J135" s="6">
        <v>2</v>
      </c>
      <c r="K135" s="6">
        <v>8</v>
      </c>
      <c r="L135" t="s">
        <v>23</v>
      </c>
      <c r="M135" s="8" t="s">
        <v>33</v>
      </c>
      <c r="N135" s="8" t="s">
        <v>58</v>
      </c>
      <c r="O135" s="9" t="s">
        <v>467</v>
      </c>
      <c r="P135" s="6">
        <v>10.59</v>
      </c>
      <c r="Q135" s="6">
        <v>16.8</v>
      </c>
      <c r="R135" s="6">
        <v>43.1</v>
      </c>
      <c r="S135" s="6">
        <v>10.01</v>
      </c>
      <c r="T135" s="6">
        <v>6555.35</v>
      </c>
      <c r="U135" s="11">
        <f t="shared" si="12"/>
        <v>5847.7698483496879</v>
      </c>
      <c r="V135" s="6">
        <v>70.489999999999995</v>
      </c>
      <c r="W135" s="6">
        <v>49.09</v>
      </c>
      <c r="X135" s="7">
        <v>1</v>
      </c>
    </row>
    <row r="136" spans="1:24" x14ac:dyDescent="0.25">
      <c r="A136" s="7">
        <v>2024</v>
      </c>
      <c r="B136" s="6" t="s">
        <v>27</v>
      </c>
      <c r="C136" s="6" t="s">
        <v>28</v>
      </c>
      <c r="D136" s="6" t="s">
        <v>29</v>
      </c>
      <c r="E136" s="6" t="s">
        <v>24</v>
      </c>
      <c r="F136" s="6" t="s">
        <v>54</v>
      </c>
      <c r="G136" s="6">
        <v>603</v>
      </c>
      <c r="H136" s="6">
        <v>3</v>
      </c>
      <c r="I136" s="6">
        <v>6</v>
      </c>
      <c r="J136" s="6">
        <v>3</v>
      </c>
      <c r="K136" s="6">
        <v>8</v>
      </c>
      <c r="L136" t="s">
        <v>23</v>
      </c>
      <c r="M136" s="8" t="s">
        <v>33</v>
      </c>
      <c r="N136" s="8" t="s">
        <v>58</v>
      </c>
      <c r="O136" s="9" t="s">
        <v>467</v>
      </c>
      <c r="P136" s="6">
        <v>10.72</v>
      </c>
      <c r="Q136" s="6">
        <v>16.899999999999999</v>
      </c>
      <c r="R136" s="6">
        <v>43.1</v>
      </c>
      <c r="S136" s="6">
        <v>10.119999999999999</v>
      </c>
      <c r="T136" s="6">
        <v>6627.84</v>
      </c>
      <c r="U136" s="11">
        <f t="shared" si="12"/>
        <v>5912.4353256021413</v>
      </c>
      <c r="V136" s="6">
        <v>70.12</v>
      </c>
      <c r="W136" s="6">
        <v>47.77</v>
      </c>
      <c r="X136" s="7">
        <v>1</v>
      </c>
    </row>
    <row r="137" spans="1:24" x14ac:dyDescent="0.25">
      <c r="A137" s="7">
        <v>2024</v>
      </c>
      <c r="B137" s="6" t="s">
        <v>27</v>
      </c>
      <c r="C137" s="6" t="s">
        <v>28</v>
      </c>
      <c r="D137" s="6" t="s">
        <v>29</v>
      </c>
      <c r="E137" s="6" t="s">
        <v>24</v>
      </c>
      <c r="F137" s="6" t="s">
        <v>55</v>
      </c>
      <c r="G137" s="6">
        <v>604</v>
      </c>
      <c r="H137" s="6">
        <v>4</v>
      </c>
      <c r="I137" s="6">
        <v>6</v>
      </c>
      <c r="J137" s="6">
        <v>3</v>
      </c>
      <c r="K137" s="6">
        <v>7</v>
      </c>
      <c r="L137" t="s">
        <v>23</v>
      </c>
      <c r="M137" s="8" t="s">
        <v>31</v>
      </c>
      <c r="N137" s="8" t="s">
        <v>61</v>
      </c>
      <c r="O137" s="9" t="s">
        <v>259</v>
      </c>
      <c r="P137" s="6">
        <v>9.82</v>
      </c>
      <c r="Q137" s="6">
        <v>17.3</v>
      </c>
      <c r="R137" s="6">
        <v>43.1</v>
      </c>
      <c r="S137" s="6">
        <v>9.23</v>
      </c>
      <c r="T137" s="6">
        <v>6042.18</v>
      </c>
      <c r="U137" s="11">
        <f t="shared" si="12"/>
        <v>5389.9910793933986</v>
      </c>
      <c r="V137" s="6">
        <v>70.83</v>
      </c>
      <c r="W137" s="6">
        <v>49.8</v>
      </c>
      <c r="X137" s="7">
        <v>0</v>
      </c>
    </row>
    <row r="138" spans="1:24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5"/>
      <c r="M138" s="5"/>
      <c r="N138" s="4"/>
      <c r="O138" s="4"/>
      <c r="P138" s="4"/>
      <c r="Q138" s="4"/>
      <c r="R138" s="4"/>
      <c r="S138" s="4"/>
      <c r="T138" s="4"/>
      <c r="U138" s="4"/>
      <c r="V138" s="4"/>
    </row>
    <row r="139" spans="1:24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5"/>
      <c r="M139" s="5"/>
      <c r="N139" s="4"/>
      <c r="O139" s="4"/>
      <c r="P139" s="4"/>
      <c r="Q139" s="4"/>
      <c r="R139" s="4"/>
      <c r="S139" s="4"/>
      <c r="T139" s="4"/>
      <c r="U139" s="4"/>
      <c r="V139" s="4"/>
    </row>
    <row r="140" spans="1:24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5"/>
      <c r="M140" s="5"/>
      <c r="N140" s="4"/>
      <c r="O140" s="4"/>
      <c r="P140" s="4"/>
      <c r="Q140" s="4"/>
      <c r="R140" s="4"/>
      <c r="S140" s="4"/>
      <c r="T140" s="4"/>
      <c r="U140" s="4"/>
      <c r="V140" s="4"/>
    </row>
    <row r="141" spans="1:24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5"/>
      <c r="M141" s="5"/>
      <c r="N141" s="4"/>
      <c r="O141" s="4"/>
      <c r="P141" s="4"/>
      <c r="Q141" s="4"/>
      <c r="R141" s="4"/>
      <c r="S141" s="4"/>
      <c r="T141" s="4"/>
      <c r="U141" s="4"/>
      <c r="V141" s="4"/>
    </row>
    <row r="142" spans="1:24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5"/>
      <c r="M142" s="5"/>
      <c r="N142" s="4"/>
      <c r="O142" s="4"/>
      <c r="P142" s="4"/>
      <c r="Q142" s="4"/>
      <c r="R142" s="4"/>
      <c r="S142" s="4"/>
      <c r="T142" s="4"/>
      <c r="U142" s="4"/>
      <c r="V142" s="4"/>
    </row>
    <row r="143" spans="1:24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5"/>
      <c r="M143" s="5"/>
      <c r="N143" s="4"/>
      <c r="O143" s="4"/>
      <c r="P143" s="4"/>
      <c r="Q143" s="4"/>
      <c r="R143" s="4"/>
      <c r="S143" s="4"/>
      <c r="T143" s="4"/>
      <c r="U143" s="4"/>
      <c r="V143" s="4"/>
    </row>
    <row r="144" spans="1:24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5"/>
      <c r="M144" s="5"/>
      <c r="N144" s="4"/>
      <c r="O144" s="4"/>
      <c r="P144" s="4"/>
      <c r="Q144" s="4"/>
      <c r="R144" s="4"/>
      <c r="S144" s="4"/>
      <c r="T144" s="4"/>
      <c r="U144" s="4"/>
      <c r="V144" s="4"/>
    </row>
    <row r="145" spans="1:2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5"/>
      <c r="M145" s="5"/>
      <c r="N145" s="4"/>
      <c r="O145" s="4"/>
      <c r="P145" s="4"/>
      <c r="Q145" s="4"/>
      <c r="R145" s="4"/>
      <c r="S145" s="4"/>
      <c r="T145" s="4"/>
      <c r="U145" s="4"/>
      <c r="V145" s="4"/>
    </row>
    <row r="146" spans="1:22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5"/>
      <c r="M146" s="5"/>
      <c r="N146" s="4"/>
      <c r="O146" s="4"/>
      <c r="P146" s="4"/>
      <c r="Q146" s="4"/>
      <c r="R146" s="4"/>
      <c r="S146" s="4"/>
      <c r="T146" s="4"/>
      <c r="U146" s="4"/>
      <c r="V146" s="4"/>
    </row>
    <row r="147" spans="1:2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5"/>
      <c r="M147" s="5"/>
      <c r="N147" s="4"/>
      <c r="O147" s="4"/>
      <c r="P147" s="4"/>
      <c r="Q147" s="4"/>
      <c r="R147" s="4"/>
      <c r="S147" s="4"/>
      <c r="T147" s="4"/>
      <c r="U147" s="4"/>
      <c r="V147" s="4"/>
    </row>
    <row r="148" spans="1:2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5"/>
      <c r="M148" s="5"/>
      <c r="N148" s="4"/>
      <c r="O148" s="4"/>
      <c r="P148" s="4"/>
      <c r="Q148" s="4"/>
      <c r="R148" s="4"/>
      <c r="S148" s="4"/>
      <c r="T148" s="4"/>
      <c r="U148" s="4"/>
      <c r="V148" s="4"/>
    </row>
    <row r="149" spans="1:2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5"/>
      <c r="M149" s="5"/>
      <c r="N149" s="4"/>
      <c r="O149" s="4"/>
      <c r="P149" s="4"/>
      <c r="Q149" s="4"/>
      <c r="R149" s="4"/>
      <c r="S149" s="4"/>
      <c r="T149" s="4"/>
      <c r="U149" s="4"/>
      <c r="V149" s="4"/>
    </row>
    <row r="150" spans="1:22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5"/>
      <c r="M150" s="5"/>
      <c r="N150" s="4"/>
      <c r="O150" s="4"/>
      <c r="P150" s="4"/>
      <c r="Q150" s="4"/>
      <c r="R150" s="4"/>
      <c r="S150" s="4"/>
      <c r="T150" s="4"/>
      <c r="U150" s="4"/>
      <c r="V150" s="4"/>
    </row>
    <row r="151" spans="1:2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5"/>
      <c r="M151" s="5"/>
      <c r="N151" s="4"/>
      <c r="O151" s="4"/>
      <c r="P151" s="4"/>
      <c r="Q151" s="4"/>
      <c r="R151" s="4"/>
      <c r="S151" s="4"/>
      <c r="T151" s="4"/>
      <c r="U151" s="4"/>
      <c r="V151" s="4"/>
    </row>
    <row r="152" spans="1:2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5"/>
      <c r="M152" s="5"/>
      <c r="N152" s="4"/>
      <c r="O152" s="4"/>
      <c r="P152" s="4"/>
      <c r="Q152" s="4"/>
      <c r="R152" s="4"/>
      <c r="S152" s="4"/>
      <c r="T152" s="4"/>
      <c r="U152" s="4"/>
      <c r="V152" s="4"/>
    </row>
    <row r="153" spans="1:2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5"/>
      <c r="M153" s="5"/>
      <c r="N153" s="4"/>
      <c r="O153" s="4"/>
      <c r="P153" s="4"/>
      <c r="Q153" s="4"/>
      <c r="R153" s="4"/>
      <c r="S153" s="4"/>
      <c r="T153" s="4"/>
      <c r="U153" s="4"/>
      <c r="V153" s="4"/>
    </row>
    <row r="154" spans="1:22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5"/>
      <c r="M154" s="5"/>
      <c r="N154" s="4"/>
      <c r="O154" s="4"/>
      <c r="P154" s="4"/>
      <c r="Q154" s="4"/>
      <c r="R154" s="4"/>
      <c r="S154" s="4"/>
      <c r="T154" s="4"/>
      <c r="U154" s="4"/>
      <c r="V154" s="4"/>
    </row>
    <row r="155" spans="1:2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5"/>
      <c r="M155" s="5"/>
      <c r="N155" s="4"/>
      <c r="O155" s="4"/>
      <c r="P155" s="4"/>
      <c r="Q155" s="4"/>
      <c r="R155" s="4"/>
      <c r="S155" s="4"/>
      <c r="T155" s="4"/>
      <c r="U155" s="4"/>
      <c r="V155" s="4"/>
    </row>
    <row r="156" spans="1:2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5"/>
      <c r="M156" s="5"/>
      <c r="N156" s="4"/>
      <c r="O156" s="4"/>
      <c r="P156" s="4"/>
      <c r="Q156" s="4"/>
      <c r="R156" s="4"/>
      <c r="S156" s="4"/>
      <c r="T156" s="4"/>
      <c r="U156" s="4"/>
      <c r="V156" s="4"/>
    </row>
    <row r="157" spans="1:2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5"/>
      <c r="M157" s="5"/>
      <c r="N157" s="4"/>
      <c r="O157" s="4"/>
      <c r="P157" s="4"/>
      <c r="Q157" s="4"/>
      <c r="R157" s="4"/>
      <c r="S157" s="4"/>
      <c r="T157" s="4"/>
      <c r="U157" s="4"/>
      <c r="V157" s="4"/>
    </row>
    <row r="158" spans="1:2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5"/>
      <c r="M158" s="5"/>
      <c r="N158" s="4"/>
      <c r="O158" s="4"/>
      <c r="P158" s="4"/>
      <c r="Q158" s="4"/>
      <c r="R158" s="4"/>
      <c r="S158" s="4"/>
      <c r="T158" s="4"/>
      <c r="U158" s="4"/>
      <c r="V158" s="4"/>
    </row>
    <row r="159" spans="1:2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5"/>
      <c r="M159" s="5"/>
      <c r="N159" s="4"/>
      <c r="O159" s="4"/>
      <c r="P159" s="4"/>
      <c r="Q159" s="4"/>
      <c r="R159" s="4"/>
      <c r="S159" s="4"/>
      <c r="T159" s="4"/>
      <c r="U159" s="4"/>
      <c r="V159" s="4"/>
    </row>
    <row r="160" spans="1:2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5"/>
      <c r="M160" s="5"/>
      <c r="N160" s="4"/>
      <c r="O160" s="4"/>
      <c r="P160" s="4"/>
      <c r="Q160" s="4"/>
      <c r="R160" s="4"/>
      <c r="S160" s="4"/>
      <c r="T160" s="4"/>
      <c r="U160" s="4"/>
      <c r="V160" s="4"/>
    </row>
    <row r="161" spans="1:2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5"/>
      <c r="M161" s="5"/>
      <c r="N161" s="4"/>
      <c r="O161" s="4"/>
      <c r="P161" s="4"/>
      <c r="Q161" s="4"/>
      <c r="R161" s="4"/>
      <c r="S161" s="4"/>
      <c r="T161" s="4"/>
      <c r="U161" s="4"/>
      <c r="V161" s="4"/>
    </row>
    <row r="162" spans="1:2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5"/>
      <c r="M162" s="5"/>
      <c r="N162" s="4"/>
      <c r="O162" s="4"/>
      <c r="P162" s="4"/>
      <c r="Q162" s="4"/>
      <c r="R162" s="4"/>
      <c r="S162" s="4"/>
      <c r="T162" s="4"/>
      <c r="U162" s="4"/>
      <c r="V162" s="4"/>
    </row>
    <row r="163" spans="1:2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5"/>
      <c r="M163" s="5"/>
      <c r="N163" s="4"/>
      <c r="O163" s="4"/>
      <c r="P163" s="4"/>
      <c r="Q163" s="4"/>
      <c r="R163" s="4"/>
      <c r="S163" s="4"/>
      <c r="T163" s="4"/>
      <c r="U163" s="4"/>
      <c r="V163" s="4"/>
    </row>
    <row r="164" spans="1:2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5"/>
      <c r="M164" s="5"/>
      <c r="N164" s="4"/>
      <c r="O164" s="4"/>
      <c r="P164" s="4"/>
      <c r="Q164" s="4"/>
      <c r="R164" s="4"/>
      <c r="S164" s="4"/>
      <c r="T164" s="4"/>
      <c r="U164" s="4"/>
      <c r="V164" s="4"/>
    </row>
    <row r="165" spans="1:2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5"/>
      <c r="M165" s="5"/>
      <c r="N165" s="4"/>
      <c r="O165" s="4"/>
      <c r="P165" s="4"/>
      <c r="Q165" s="4"/>
      <c r="R165" s="4"/>
      <c r="S165" s="4"/>
      <c r="T165" s="4"/>
      <c r="U165" s="4"/>
      <c r="V165" s="4"/>
    </row>
    <row r="166" spans="1:2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5"/>
      <c r="M166" s="5"/>
      <c r="N166" s="4"/>
      <c r="O166" s="4"/>
      <c r="P166" s="4"/>
      <c r="Q166" s="4"/>
      <c r="R166" s="4"/>
      <c r="S166" s="4"/>
      <c r="T166" s="4"/>
      <c r="U166" s="4"/>
      <c r="V166" s="4"/>
    </row>
    <row r="167" spans="1:2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5"/>
      <c r="M167" s="5"/>
      <c r="N167" s="4"/>
      <c r="O167" s="4"/>
      <c r="P167" s="4"/>
      <c r="Q167" s="4"/>
      <c r="R167" s="4"/>
      <c r="S167" s="4"/>
      <c r="T167" s="4"/>
      <c r="U167" s="4"/>
      <c r="V167" s="4"/>
    </row>
    <row r="168" spans="1:2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5"/>
      <c r="M168" s="5"/>
      <c r="N168" s="4"/>
      <c r="O168" s="4"/>
      <c r="P168" s="4"/>
      <c r="Q168" s="4"/>
      <c r="R168" s="4"/>
      <c r="S168" s="4"/>
      <c r="T168" s="4"/>
      <c r="U168" s="4"/>
      <c r="V168" s="4"/>
    </row>
    <row r="169" spans="1:2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5"/>
      <c r="M169" s="5"/>
      <c r="N169" s="4"/>
      <c r="O169" s="4"/>
      <c r="P169" s="4"/>
      <c r="Q169" s="4"/>
      <c r="R169" s="4"/>
      <c r="S169" s="4"/>
      <c r="T169" s="4"/>
      <c r="U169" s="4"/>
      <c r="V169" s="4"/>
    </row>
    <row r="170" spans="1:22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5"/>
      <c r="M170" s="5"/>
      <c r="N170" s="4"/>
      <c r="O170" s="4"/>
      <c r="P170" s="4"/>
      <c r="Q170" s="4"/>
      <c r="R170" s="4"/>
      <c r="S170" s="4"/>
      <c r="T170" s="4"/>
      <c r="U170" s="4"/>
      <c r="V170" s="4"/>
    </row>
    <row r="171" spans="1:2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5"/>
      <c r="M171" s="5"/>
      <c r="N171" s="4"/>
      <c r="O171" s="4"/>
      <c r="P171" s="4"/>
      <c r="Q171" s="4"/>
      <c r="R171" s="4"/>
      <c r="S171" s="4"/>
      <c r="T171" s="4"/>
      <c r="U171" s="4"/>
      <c r="V171" s="4"/>
    </row>
    <row r="172" spans="1:2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5"/>
      <c r="M172" s="5"/>
      <c r="N172" s="4"/>
      <c r="O172" s="4"/>
      <c r="P172" s="4"/>
      <c r="Q172" s="4"/>
      <c r="R172" s="4"/>
      <c r="S172" s="4"/>
      <c r="T172" s="4"/>
      <c r="U172" s="4"/>
      <c r="V172" s="4"/>
    </row>
    <row r="173" spans="1:2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5"/>
      <c r="M173" s="5"/>
      <c r="N173" s="4"/>
      <c r="O173" s="4"/>
      <c r="P173" s="4"/>
      <c r="Q173" s="4"/>
      <c r="R173" s="4"/>
      <c r="S173" s="4"/>
      <c r="T173" s="4"/>
      <c r="U173" s="4"/>
      <c r="V173" s="4"/>
    </row>
    <row r="174" spans="1:22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5"/>
      <c r="M174" s="5"/>
      <c r="N174" s="4"/>
      <c r="O174" s="4"/>
      <c r="P174" s="4"/>
      <c r="Q174" s="4"/>
      <c r="R174" s="4"/>
      <c r="S174" s="4"/>
      <c r="T174" s="4"/>
      <c r="U174" s="4"/>
      <c r="V174" s="4"/>
    </row>
    <row r="175" spans="1:2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5"/>
      <c r="M175" s="5"/>
      <c r="N175" s="4"/>
      <c r="O175" s="4"/>
      <c r="P175" s="4"/>
      <c r="Q175" s="4"/>
      <c r="R175" s="4"/>
      <c r="S175" s="4"/>
      <c r="T175" s="4"/>
      <c r="U175" s="4"/>
      <c r="V175" s="4"/>
    </row>
    <row r="176" spans="1:2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5"/>
      <c r="M176" s="5"/>
      <c r="N176" s="4"/>
      <c r="O176" s="4"/>
      <c r="P176" s="4"/>
      <c r="Q176" s="4"/>
      <c r="R176" s="4"/>
      <c r="S176" s="4"/>
      <c r="T176" s="4"/>
      <c r="U176" s="4"/>
      <c r="V176" s="4"/>
    </row>
    <row r="177" spans="1:2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5"/>
      <c r="M177" s="5"/>
      <c r="N177" s="4"/>
      <c r="O177" s="4"/>
      <c r="P177" s="4"/>
      <c r="Q177" s="4"/>
      <c r="R177" s="4"/>
      <c r="S177" s="4"/>
      <c r="T177" s="4"/>
      <c r="U177" s="4"/>
      <c r="V177" s="4"/>
    </row>
    <row r="178" spans="1:2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5"/>
      <c r="M178" s="5"/>
      <c r="N178" s="4"/>
      <c r="O178" s="4"/>
      <c r="P178" s="4"/>
      <c r="Q178" s="4"/>
      <c r="R178" s="4"/>
      <c r="S178" s="4"/>
      <c r="T178" s="4"/>
      <c r="U178" s="4"/>
      <c r="V178" s="4"/>
    </row>
    <row r="179" spans="1:2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5"/>
      <c r="M179" s="5"/>
      <c r="N179" s="4"/>
      <c r="O179" s="4"/>
      <c r="P179" s="4"/>
      <c r="Q179" s="4"/>
      <c r="R179" s="4"/>
      <c r="S179" s="4"/>
      <c r="T179" s="4"/>
      <c r="U179" s="4"/>
      <c r="V179" s="4"/>
    </row>
    <row r="180" spans="1:2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5"/>
      <c r="M180" s="5"/>
      <c r="N180" s="4"/>
      <c r="O180" s="4"/>
      <c r="P180" s="4"/>
      <c r="Q180" s="4"/>
      <c r="R180" s="4"/>
      <c r="S180" s="4"/>
      <c r="T180" s="4"/>
      <c r="U180" s="4"/>
      <c r="V180" s="4"/>
    </row>
    <row r="181" spans="1:2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5"/>
      <c r="M181" s="5"/>
      <c r="N181" s="4"/>
      <c r="O181" s="4"/>
      <c r="P181" s="4"/>
      <c r="Q181" s="4"/>
      <c r="R181" s="4"/>
      <c r="S181" s="4"/>
      <c r="T181" s="4"/>
      <c r="U181" s="4"/>
      <c r="V181" s="4"/>
    </row>
    <row r="182" spans="1:22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5"/>
      <c r="M182" s="5"/>
      <c r="N182" s="4"/>
      <c r="O182" s="4"/>
      <c r="P182" s="4"/>
      <c r="Q182" s="4"/>
      <c r="R182" s="4"/>
      <c r="S182" s="4"/>
      <c r="T182" s="4"/>
      <c r="U182" s="4"/>
      <c r="V182" s="4"/>
    </row>
    <row r="183" spans="1:2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5"/>
      <c r="M183" s="5"/>
      <c r="N183" s="4"/>
      <c r="O183" s="4"/>
      <c r="P183" s="4"/>
      <c r="Q183" s="4"/>
      <c r="R183" s="4"/>
      <c r="S183" s="4"/>
      <c r="T183" s="4"/>
      <c r="U183" s="4"/>
      <c r="V183" s="4"/>
    </row>
    <row r="184" spans="1:2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5"/>
      <c r="M184" s="5"/>
      <c r="N184" s="4"/>
      <c r="O184" s="4"/>
      <c r="P184" s="4"/>
      <c r="Q184" s="4"/>
      <c r="R184" s="4"/>
      <c r="S184" s="4"/>
      <c r="T184" s="4"/>
      <c r="U184" s="4"/>
      <c r="V184" s="4"/>
    </row>
    <row r="185" spans="1:2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5"/>
      <c r="M185" s="5"/>
      <c r="N185" s="4"/>
      <c r="O185" s="4"/>
      <c r="P185" s="4"/>
      <c r="Q185" s="4"/>
      <c r="R185" s="4"/>
      <c r="S185" s="4"/>
      <c r="T185" s="4"/>
      <c r="U185" s="4"/>
      <c r="V185" s="4"/>
    </row>
    <row r="186" spans="1:22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5"/>
      <c r="M186" s="5"/>
      <c r="N186" s="4"/>
      <c r="O186" s="4"/>
      <c r="P186" s="4"/>
      <c r="Q186" s="4"/>
      <c r="R186" s="4"/>
      <c r="S186" s="4"/>
      <c r="T186" s="4"/>
      <c r="U186" s="4"/>
      <c r="V186" s="4"/>
    </row>
    <row r="187" spans="1:2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5"/>
      <c r="M187" s="5"/>
      <c r="N187" s="4"/>
      <c r="O187" s="4"/>
      <c r="P187" s="4"/>
      <c r="Q187" s="4"/>
      <c r="R187" s="4"/>
      <c r="S187" s="4"/>
      <c r="T187" s="4"/>
      <c r="U187" s="4"/>
      <c r="V187" s="4"/>
    </row>
    <row r="188" spans="1:2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5"/>
      <c r="M188" s="5"/>
      <c r="N188" s="4"/>
      <c r="O188" s="4"/>
      <c r="P188" s="4"/>
      <c r="Q188" s="4"/>
      <c r="R188" s="4"/>
      <c r="S188" s="4"/>
      <c r="T188" s="4"/>
      <c r="U188" s="4"/>
      <c r="V188" s="4"/>
    </row>
    <row r="189" spans="1:2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5"/>
      <c r="M189" s="5"/>
      <c r="N189" s="4"/>
      <c r="O189" s="4"/>
      <c r="P189" s="4"/>
      <c r="Q189" s="4"/>
      <c r="R189" s="4"/>
      <c r="S189" s="4"/>
      <c r="T189" s="4"/>
      <c r="U189" s="4"/>
      <c r="V189" s="4"/>
    </row>
    <row r="190" spans="1:22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5"/>
      <c r="M190" s="5"/>
      <c r="N190" s="4"/>
      <c r="O190" s="4"/>
      <c r="P190" s="4"/>
      <c r="Q190" s="4"/>
      <c r="R190" s="4"/>
      <c r="S190" s="4"/>
      <c r="T190" s="4"/>
      <c r="U190" s="4"/>
      <c r="V190" s="4"/>
    </row>
    <row r="191" spans="1:2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5"/>
      <c r="M191" s="5"/>
      <c r="N191" s="4"/>
      <c r="O191" s="4"/>
      <c r="P191" s="4"/>
      <c r="Q191" s="4"/>
      <c r="R191" s="4"/>
      <c r="S191" s="4"/>
      <c r="T191" s="4"/>
      <c r="U191" s="4"/>
      <c r="V191" s="4"/>
    </row>
    <row r="192" spans="1:2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5"/>
      <c r="M192" s="5"/>
      <c r="N192" s="4"/>
      <c r="O192" s="4"/>
      <c r="P192" s="4"/>
      <c r="Q192" s="4"/>
      <c r="R192" s="4"/>
      <c r="S192" s="4"/>
      <c r="T192" s="4"/>
      <c r="U192" s="4"/>
      <c r="V192" s="4"/>
    </row>
    <row r="193" spans="1:2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5"/>
      <c r="M193" s="5"/>
      <c r="N193" s="4"/>
      <c r="O193" s="4"/>
      <c r="P193" s="4"/>
      <c r="Q193" s="4"/>
      <c r="R193" s="4"/>
      <c r="S193" s="4"/>
      <c r="T193" s="4"/>
      <c r="U193" s="4"/>
      <c r="V193" s="4"/>
    </row>
    <row r="194" spans="1:22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5"/>
      <c r="M194" s="5"/>
      <c r="N194" s="4"/>
      <c r="O194" s="4"/>
      <c r="P194" s="4"/>
      <c r="Q194" s="4"/>
      <c r="R194" s="4"/>
      <c r="S194" s="4"/>
      <c r="T194" s="4"/>
      <c r="U194" s="4"/>
      <c r="V194" s="4"/>
    </row>
    <row r="195" spans="1:2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5"/>
      <c r="M195" s="5"/>
      <c r="N195" s="4"/>
      <c r="O195" s="4"/>
      <c r="P195" s="4"/>
      <c r="Q195" s="4"/>
      <c r="R195" s="4"/>
      <c r="S195" s="4"/>
      <c r="T195" s="4"/>
      <c r="U195" s="4"/>
      <c r="V195" s="4"/>
    </row>
    <row r="196" spans="1:2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5"/>
      <c r="M196" s="5"/>
      <c r="N196" s="4"/>
      <c r="O196" s="4"/>
      <c r="P196" s="4"/>
      <c r="Q196" s="4"/>
      <c r="R196" s="4"/>
      <c r="S196" s="4"/>
      <c r="T196" s="4"/>
      <c r="U196" s="4"/>
      <c r="V196" s="4"/>
    </row>
    <row r="197" spans="1:2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5"/>
      <c r="M197" s="5"/>
      <c r="N197" s="4"/>
      <c r="O197" s="4"/>
      <c r="P197" s="4"/>
      <c r="Q197" s="4"/>
      <c r="R197" s="4"/>
      <c r="S197" s="4"/>
      <c r="T197" s="4"/>
      <c r="U197" s="4"/>
      <c r="V197" s="4"/>
    </row>
    <row r="198" spans="1:2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5"/>
      <c r="M198" s="5"/>
      <c r="N198" s="4"/>
      <c r="O198" s="4"/>
      <c r="P198" s="4"/>
      <c r="Q198" s="4"/>
      <c r="R198" s="4"/>
      <c r="S198" s="4"/>
      <c r="T198" s="4"/>
      <c r="U198" s="4"/>
      <c r="V198" s="4"/>
    </row>
    <row r="199" spans="1:2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5"/>
      <c r="M199" s="5"/>
      <c r="N199" s="4"/>
      <c r="O199" s="4"/>
      <c r="P199" s="4"/>
      <c r="Q199" s="4"/>
      <c r="R199" s="4"/>
      <c r="S199" s="4"/>
      <c r="T199" s="4"/>
      <c r="U199" s="4"/>
      <c r="V199" s="4"/>
    </row>
    <row r="200" spans="1:2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5"/>
      <c r="M200" s="5"/>
      <c r="N200" s="4"/>
      <c r="O200" s="4"/>
      <c r="P200" s="4"/>
      <c r="Q200" s="4"/>
      <c r="R200" s="4"/>
      <c r="S200" s="4"/>
      <c r="T200" s="4"/>
      <c r="U200" s="4"/>
      <c r="V200" s="4"/>
    </row>
    <row r="201" spans="1:2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5"/>
      <c r="M201" s="5"/>
      <c r="N201" s="4"/>
      <c r="O201" s="4"/>
      <c r="P201" s="4"/>
      <c r="Q201" s="4"/>
      <c r="R201" s="4"/>
      <c r="S201" s="4"/>
      <c r="T201" s="4"/>
      <c r="U201" s="4"/>
      <c r="V201" s="4"/>
    </row>
  </sheetData>
  <autoFilter ref="A1:X137" xr:uid="{2AD4B3F6-F2F2-43FA-B383-9CA99EE1DED7}">
    <filterColumn colId="11">
      <filters>
        <filter val="PVL03"/>
      </filters>
    </filterColumn>
  </autoFilter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ED7A-89EF-4D25-B9EF-C92C4F4899FE}">
  <sheetPr filterMode="1"/>
  <dimension ref="A1:X268"/>
  <sheetViews>
    <sheetView workbookViewId="0">
      <pane ySplit="1" topLeftCell="A65" activePane="bottomLeft" state="frozen"/>
      <selection pane="bottomLeft" activeCell="Y89" sqref="Y89"/>
    </sheetView>
  </sheetViews>
  <sheetFormatPr defaultColWidth="8.85546875" defaultRowHeight="15" x14ac:dyDescent="0.25"/>
  <cols>
    <col min="1" max="1" width="5" bestFit="1" customWidth="1"/>
    <col min="2" max="2" width="13.42578125" bestFit="1" customWidth="1"/>
    <col min="3" max="3" width="10.28515625" bestFit="1" customWidth="1"/>
    <col min="4" max="5" width="5.28515625" bestFit="1" customWidth="1"/>
    <col min="6" max="6" width="12.85546875" bestFit="1" customWidth="1"/>
    <col min="7" max="7" width="5" bestFit="1" customWidth="1"/>
    <col min="8" max="8" width="3.42578125" bestFit="1" customWidth="1"/>
    <col min="9" max="9" width="4.42578125" bestFit="1" customWidth="1"/>
    <col min="10" max="10" width="3.7109375" bestFit="1" customWidth="1"/>
    <col min="11" max="11" width="3.140625" bestFit="1" customWidth="1"/>
    <col min="12" max="12" width="6.140625" bestFit="1" customWidth="1"/>
    <col min="13" max="13" width="6" bestFit="1" customWidth="1"/>
    <col min="14" max="14" width="10.140625" bestFit="1" customWidth="1"/>
    <col min="15" max="15" width="9.85546875" bestFit="1" customWidth="1"/>
    <col min="16" max="16" width="7.140625" bestFit="1" customWidth="1"/>
    <col min="17" max="17" width="6" bestFit="1" customWidth="1"/>
    <col min="18" max="18" width="5.42578125" bestFit="1" customWidth="1"/>
    <col min="19" max="19" width="10.140625" bestFit="1" customWidth="1"/>
    <col min="20" max="20" width="7.42578125" bestFit="1" customWidth="1"/>
    <col min="21" max="21" width="10" bestFit="1" customWidth="1"/>
    <col min="22" max="24" width="5.42578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56</v>
      </c>
      <c r="N1" s="1" t="s">
        <v>12</v>
      </c>
      <c r="O1" s="1" t="s">
        <v>256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hidden="1" x14ac:dyDescent="0.25">
      <c r="A2" s="3">
        <v>2025</v>
      </c>
      <c r="B2" s="2" t="s">
        <v>186</v>
      </c>
      <c r="C2" s="6" t="s">
        <v>187</v>
      </c>
      <c r="D2" s="6" t="s">
        <v>188</v>
      </c>
      <c r="E2" s="6" t="s">
        <v>22</v>
      </c>
      <c r="F2" s="7" t="s">
        <v>189</v>
      </c>
      <c r="G2" s="7">
        <v>101</v>
      </c>
      <c r="H2" s="6">
        <v>1</v>
      </c>
      <c r="I2" s="6">
        <v>1</v>
      </c>
      <c r="J2" s="6">
        <v>1</v>
      </c>
      <c r="K2" s="6">
        <v>14</v>
      </c>
      <c r="L2" s="6" t="s">
        <v>252</v>
      </c>
      <c r="M2" s="8" t="s">
        <v>253</v>
      </c>
      <c r="N2" s="9" t="s">
        <v>61</v>
      </c>
      <c r="O2" s="9" t="s">
        <v>257</v>
      </c>
      <c r="P2" s="10">
        <v>14.23</v>
      </c>
      <c r="Q2" s="10">
        <v>13.2</v>
      </c>
      <c r="R2" s="10">
        <v>43.9</v>
      </c>
      <c r="S2" s="6">
        <v>8200.19</v>
      </c>
      <c r="T2" s="10">
        <v>9191.18</v>
      </c>
      <c r="U2" s="11">
        <f>T2/1.121</f>
        <v>8199.0900981266732</v>
      </c>
      <c r="V2" s="10">
        <v>72</v>
      </c>
      <c r="W2" s="10">
        <v>59.28</v>
      </c>
      <c r="X2" s="7">
        <v>0</v>
      </c>
    </row>
    <row r="3" spans="1:24" hidden="1" x14ac:dyDescent="0.25">
      <c r="A3">
        <v>2025</v>
      </c>
      <c r="B3" s="2" t="s">
        <v>186</v>
      </c>
      <c r="C3" s="6" t="s">
        <v>187</v>
      </c>
      <c r="D3" s="6" t="s">
        <v>188</v>
      </c>
      <c r="E3" s="6" t="s">
        <v>22</v>
      </c>
      <c r="F3" s="7" t="s">
        <v>190</v>
      </c>
      <c r="G3" s="7">
        <v>102</v>
      </c>
      <c r="H3" s="6">
        <v>2</v>
      </c>
      <c r="I3" s="6">
        <v>1</v>
      </c>
      <c r="J3" s="6">
        <v>1</v>
      </c>
      <c r="K3" s="6">
        <v>16</v>
      </c>
      <c r="L3" s="6" t="s">
        <v>252</v>
      </c>
      <c r="M3" s="8" t="s">
        <v>254</v>
      </c>
      <c r="N3" s="9" t="s">
        <v>58</v>
      </c>
      <c r="O3" s="9" t="s">
        <v>258</v>
      </c>
      <c r="P3" s="10">
        <v>14.34</v>
      </c>
      <c r="Q3" s="10">
        <v>12.6</v>
      </c>
      <c r="R3" s="10">
        <v>42.9</v>
      </c>
      <c r="S3" s="6">
        <v>8320.7000000000007</v>
      </c>
      <c r="T3" s="10">
        <v>9326.26</v>
      </c>
      <c r="U3" s="11">
        <f t="shared" ref="U3:U66" si="0">T3/1.121</f>
        <v>8319.5896520963433</v>
      </c>
      <c r="V3" s="10">
        <v>71.38</v>
      </c>
      <c r="W3" s="10">
        <v>56.14</v>
      </c>
      <c r="X3" s="7">
        <v>1</v>
      </c>
    </row>
    <row r="4" spans="1:24" hidden="1" x14ac:dyDescent="0.25">
      <c r="A4" s="3">
        <v>2025</v>
      </c>
      <c r="B4" s="2" t="s">
        <v>186</v>
      </c>
      <c r="C4" s="6" t="s">
        <v>187</v>
      </c>
      <c r="D4" s="6" t="s">
        <v>188</v>
      </c>
      <c r="E4" s="6" t="s">
        <v>22</v>
      </c>
      <c r="F4" s="7" t="s">
        <v>191</v>
      </c>
      <c r="G4" s="7">
        <v>103</v>
      </c>
      <c r="H4" s="6">
        <v>3</v>
      </c>
      <c r="I4" s="6">
        <v>1</v>
      </c>
      <c r="J4" s="6">
        <v>1</v>
      </c>
      <c r="K4" s="6">
        <v>13</v>
      </c>
      <c r="L4" s="6" t="s">
        <v>252</v>
      </c>
      <c r="M4" s="8" t="s">
        <v>253</v>
      </c>
      <c r="N4" s="9" t="s">
        <v>59</v>
      </c>
      <c r="O4" s="9" t="s">
        <v>257</v>
      </c>
      <c r="P4" s="10">
        <v>14.79</v>
      </c>
      <c r="Q4" s="10">
        <v>12.2</v>
      </c>
      <c r="R4" s="10">
        <v>43.8</v>
      </c>
      <c r="S4" s="6">
        <v>8621.09</v>
      </c>
      <c r="T4" s="10">
        <v>9662.94</v>
      </c>
      <c r="U4" s="11">
        <f t="shared" si="0"/>
        <v>8619.928635147191</v>
      </c>
      <c r="V4" s="10">
        <v>71.13</v>
      </c>
      <c r="W4" s="10">
        <v>57.94</v>
      </c>
      <c r="X4" s="7">
        <v>1</v>
      </c>
    </row>
    <row r="5" spans="1:24" hidden="1" x14ac:dyDescent="0.25">
      <c r="A5">
        <v>2025</v>
      </c>
      <c r="B5" s="2" t="s">
        <v>186</v>
      </c>
      <c r="C5" s="6" t="s">
        <v>187</v>
      </c>
      <c r="D5" s="6" t="s">
        <v>188</v>
      </c>
      <c r="E5" s="6" t="s">
        <v>22</v>
      </c>
      <c r="F5" s="7" t="s">
        <v>192</v>
      </c>
      <c r="G5" s="7">
        <v>104</v>
      </c>
      <c r="H5" s="6">
        <v>4</v>
      </c>
      <c r="I5" s="6">
        <v>1</v>
      </c>
      <c r="J5" s="6">
        <v>1</v>
      </c>
      <c r="K5" s="6">
        <v>1</v>
      </c>
      <c r="L5" s="6" t="s">
        <v>252</v>
      </c>
      <c r="M5" s="8" t="s">
        <v>469</v>
      </c>
      <c r="N5" s="8" t="s">
        <v>469</v>
      </c>
      <c r="O5" s="8" t="s">
        <v>469</v>
      </c>
      <c r="P5" s="10">
        <v>13.75</v>
      </c>
      <c r="Q5" s="10">
        <v>12</v>
      </c>
      <c r="R5" s="10">
        <v>43.6</v>
      </c>
      <c r="S5" s="6">
        <v>8033.13</v>
      </c>
      <c r="T5" s="10">
        <v>9003.93</v>
      </c>
      <c r="U5" s="11">
        <f t="shared" si="0"/>
        <v>8032.0517395182878</v>
      </c>
      <c r="V5" s="10">
        <v>70.930000000000007</v>
      </c>
      <c r="W5" s="10">
        <v>54.85</v>
      </c>
      <c r="X5" s="7">
        <v>0</v>
      </c>
    </row>
    <row r="6" spans="1:24" hidden="1" x14ac:dyDescent="0.25">
      <c r="A6" s="3">
        <v>2025</v>
      </c>
      <c r="B6" s="2" t="s">
        <v>186</v>
      </c>
      <c r="C6" s="6" t="s">
        <v>187</v>
      </c>
      <c r="D6" s="6" t="s">
        <v>188</v>
      </c>
      <c r="E6" s="6" t="s">
        <v>22</v>
      </c>
      <c r="F6" s="7" t="s">
        <v>193</v>
      </c>
      <c r="G6" s="7">
        <v>105</v>
      </c>
      <c r="H6" s="6">
        <v>5</v>
      </c>
      <c r="I6" s="6">
        <v>1</v>
      </c>
      <c r="J6" s="6">
        <v>1</v>
      </c>
      <c r="K6" s="6">
        <v>19</v>
      </c>
      <c r="L6" s="6" t="s">
        <v>252</v>
      </c>
      <c r="M6" s="8" t="s">
        <v>254</v>
      </c>
      <c r="N6" s="9" t="s">
        <v>59</v>
      </c>
      <c r="O6" s="9" t="s">
        <v>258</v>
      </c>
      <c r="P6" s="10">
        <v>14.75</v>
      </c>
      <c r="Q6" s="10">
        <v>11.9</v>
      </c>
      <c r="R6" s="10">
        <v>43.3</v>
      </c>
      <c r="S6" s="6">
        <v>8627.15</v>
      </c>
      <c r="T6" s="10">
        <v>9669.74</v>
      </c>
      <c r="U6" s="11">
        <f t="shared" si="0"/>
        <v>8625.9946476360383</v>
      </c>
      <c r="V6" s="10">
        <v>70.91</v>
      </c>
      <c r="W6" s="10">
        <v>55.78</v>
      </c>
      <c r="X6" s="7">
        <v>0</v>
      </c>
    </row>
    <row r="7" spans="1:24" hidden="1" x14ac:dyDescent="0.25">
      <c r="A7">
        <v>2025</v>
      </c>
      <c r="B7" s="2" t="s">
        <v>186</v>
      </c>
      <c r="C7" s="6" t="s">
        <v>187</v>
      </c>
      <c r="D7" s="6" t="s">
        <v>188</v>
      </c>
      <c r="E7" s="6" t="s">
        <v>22</v>
      </c>
      <c r="F7" s="7" t="s">
        <v>194</v>
      </c>
      <c r="G7" s="7">
        <v>106</v>
      </c>
      <c r="H7" s="6">
        <v>6</v>
      </c>
      <c r="I7" s="6">
        <v>1</v>
      </c>
      <c r="J7" s="6">
        <v>1</v>
      </c>
      <c r="K7" s="6">
        <v>15</v>
      </c>
      <c r="L7" s="6" t="s">
        <v>252</v>
      </c>
      <c r="M7" s="8" t="s">
        <v>254</v>
      </c>
      <c r="N7" s="9" t="s">
        <v>57</v>
      </c>
      <c r="O7" s="9" t="s">
        <v>258</v>
      </c>
      <c r="P7" s="10">
        <v>15.05</v>
      </c>
      <c r="Q7" s="10">
        <v>11.8</v>
      </c>
      <c r="R7" s="10">
        <v>43.7</v>
      </c>
      <c r="S7" s="6">
        <v>8812.61</v>
      </c>
      <c r="T7" s="10">
        <v>9877.61</v>
      </c>
      <c r="U7" s="11">
        <f t="shared" si="0"/>
        <v>8811.4272970561997</v>
      </c>
      <c r="V7" s="10">
        <v>70.930000000000007</v>
      </c>
      <c r="W7" s="10">
        <v>56.11</v>
      </c>
      <c r="X7" s="7">
        <v>1</v>
      </c>
    </row>
    <row r="8" spans="1:24" hidden="1" x14ac:dyDescent="0.25">
      <c r="A8" s="3">
        <v>2025</v>
      </c>
      <c r="B8" s="2" t="s">
        <v>186</v>
      </c>
      <c r="C8" s="6" t="s">
        <v>187</v>
      </c>
      <c r="D8" s="6" t="s">
        <v>188</v>
      </c>
      <c r="E8" s="6" t="s">
        <v>22</v>
      </c>
      <c r="F8" s="7" t="s">
        <v>195</v>
      </c>
      <c r="G8" s="7">
        <v>107</v>
      </c>
      <c r="H8" s="6">
        <v>7</v>
      </c>
      <c r="I8" s="6">
        <v>1</v>
      </c>
      <c r="J8" s="6">
        <v>1</v>
      </c>
      <c r="K8" s="6">
        <v>3</v>
      </c>
      <c r="L8" s="6" t="s">
        <v>252</v>
      </c>
      <c r="M8" s="8" t="s">
        <v>31</v>
      </c>
      <c r="N8" s="9" t="s">
        <v>57</v>
      </c>
      <c r="O8" s="9" t="s">
        <v>259</v>
      </c>
      <c r="P8" s="10">
        <v>13.73</v>
      </c>
      <c r="Q8" s="10">
        <v>12.1</v>
      </c>
      <c r="R8" s="10">
        <v>43.6</v>
      </c>
      <c r="S8" s="6">
        <v>8012.33</v>
      </c>
      <c r="T8" s="10">
        <v>8980.6200000000008</v>
      </c>
      <c r="U8" s="11">
        <f t="shared" si="0"/>
        <v>8011.2578055307767</v>
      </c>
      <c r="V8" s="10">
        <v>70.87</v>
      </c>
      <c r="W8" s="10">
        <v>56.07</v>
      </c>
      <c r="X8" s="7">
        <v>0</v>
      </c>
    </row>
    <row r="9" spans="1:24" hidden="1" x14ac:dyDescent="0.25">
      <c r="A9">
        <v>2025</v>
      </c>
      <c r="B9" s="2" t="s">
        <v>186</v>
      </c>
      <c r="C9" s="6" t="s">
        <v>187</v>
      </c>
      <c r="D9" s="6" t="s">
        <v>188</v>
      </c>
      <c r="E9" s="6" t="s">
        <v>22</v>
      </c>
      <c r="F9" s="7" t="s">
        <v>196</v>
      </c>
      <c r="G9" s="7">
        <v>201</v>
      </c>
      <c r="H9" s="6">
        <v>1</v>
      </c>
      <c r="I9" s="6">
        <v>2</v>
      </c>
      <c r="J9" s="6">
        <v>1</v>
      </c>
      <c r="K9" s="6">
        <v>6</v>
      </c>
      <c r="L9" s="6" t="s">
        <v>252</v>
      </c>
      <c r="M9" s="8" t="s">
        <v>31</v>
      </c>
      <c r="N9" s="9" t="s">
        <v>62</v>
      </c>
      <c r="O9" s="9" t="s">
        <v>259</v>
      </c>
      <c r="P9" s="10">
        <v>12.91</v>
      </c>
      <c r="Q9" s="10">
        <v>12.3</v>
      </c>
      <c r="R9" s="10">
        <v>42.8</v>
      </c>
      <c r="S9" s="6">
        <v>7516.66</v>
      </c>
      <c r="T9" s="10">
        <v>8425.0499999999993</v>
      </c>
      <c r="U9" s="11">
        <f t="shared" si="0"/>
        <v>7515.6556645851915</v>
      </c>
      <c r="V9" s="10">
        <v>70.930000000000007</v>
      </c>
      <c r="W9" s="10">
        <v>54.63</v>
      </c>
      <c r="X9" s="7">
        <v>0</v>
      </c>
    </row>
    <row r="10" spans="1:24" hidden="1" x14ac:dyDescent="0.25">
      <c r="A10" s="3">
        <v>2025</v>
      </c>
      <c r="B10" s="2" t="s">
        <v>186</v>
      </c>
      <c r="C10" s="6" t="s">
        <v>187</v>
      </c>
      <c r="D10" s="6" t="s">
        <v>188</v>
      </c>
      <c r="E10" s="6" t="s">
        <v>22</v>
      </c>
      <c r="F10" s="7" t="s">
        <v>197</v>
      </c>
      <c r="G10" s="7">
        <v>202</v>
      </c>
      <c r="H10" s="6">
        <v>2</v>
      </c>
      <c r="I10" s="6">
        <v>2</v>
      </c>
      <c r="J10" s="6">
        <v>1</v>
      </c>
      <c r="K10" s="6">
        <v>20</v>
      </c>
      <c r="L10" s="6" t="s">
        <v>252</v>
      </c>
      <c r="M10" s="8" t="s">
        <v>254</v>
      </c>
      <c r="N10" s="9" t="s">
        <v>61</v>
      </c>
      <c r="O10" s="9" t="s">
        <v>258</v>
      </c>
      <c r="P10" s="10">
        <v>13.72</v>
      </c>
      <c r="Q10" s="10">
        <v>12.5</v>
      </c>
      <c r="R10" s="10">
        <v>43.3</v>
      </c>
      <c r="S10" s="6">
        <v>7970.06</v>
      </c>
      <c r="T10" s="10">
        <v>8933.24</v>
      </c>
      <c r="U10" s="11">
        <f t="shared" si="0"/>
        <v>7968.9919714540583</v>
      </c>
      <c r="V10" s="10">
        <v>70.55</v>
      </c>
      <c r="W10" s="10">
        <v>54.97</v>
      </c>
      <c r="X10" s="7">
        <v>0</v>
      </c>
    </row>
    <row r="11" spans="1:24" hidden="1" x14ac:dyDescent="0.25">
      <c r="A11">
        <v>2025</v>
      </c>
      <c r="B11" s="2" t="s">
        <v>186</v>
      </c>
      <c r="C11" s="6" t="s">
        <v>187</v>
      </c>
      <c r="D11" s="6" t="s">
        <v>188</v>
      </c>
      <c r="E11" s="6" t="s">
        <v>22</v>
      </c>
      <c r="F11" s="7" t="s">
        <v>198</v>
      </c>
      <c r="G11" s="7">
        <v>203</v>
      </c>
      <c r="H11" s="6">
        <v>3</v>
      </c>
      <c r="I11" s="6">
        <v>2</v>
      </c>
      <c r="J11" s="6">
        <v>1</v>
      </c>
      <c r="K11" s="6">
        <v>10</v>
      </c>
      <c r="L11" s="6" t="s">
        <v>252</v>
      </c>
      <c r="M11" s="8" t="s">
        <v>253</v>
      </c>
      <c r="N11" s="9" t="s">
        <v>58</v>
      </c>
      <c r="O11" s="9" t="s">
        <v>257</v>
      </c>
      <c r="P11" s="10">
        <v>13.71</v>
      </c>
      <c r="Q11" s="10">
        <v>11.8</v>
      </c>
      <c r="R11" s="10">
        <v>43.4</v>
      </c>
      <c r="S11" s="6">
        <v>8027.96</v>
      </c>
      <c r="T11" s="10">
        <v>8998.14</v>
      </c>
      <c r="U11" s="11">
        <f t="shared" si="0"/>
        <v>8026.8867082961633</v>
      </c>
      <c r="V11" s="10">
        <v>71.040000000000006</v>
      </c>
      <c r="W11" s="10">
        <v>55.39</v>
      </c>
      <c r="X11" s="7">
        <v>1</v>
      </c>
    </row>
    <row r="12" spans="1:24" hidden="1" x14ac:dyDescent="0.25">
      <c r="A12" s="3">
        <v>2025</v>
      </c>
      <c r="B12" s="2" t="s">
        <v>186</v>
      </c>
      <c r="C12" s="6" t="s">
        <v>187</v>
      </c>
      <c r="D12" s="6" t="s">
        <v>188</v>
      </c>
      <c r="E12" s="6" t="s">
        <v>22</v>
      </c>
      <c r="F12" s="7" t="s">
        <v>199</v>
      </c>
      <c r="G12" s="7">
        <v>204</v>
      </c>
      <c r="H12" s="6">
        <v>4</v>
      </c>
      <c r="I12" s="6">
        <v>2</v>
      </c>
      <c r="J12" s="6">
        <v>1</v>
      </c>
      <c r="K12" s="6">
        <v>17</v>
      </c>
      <c r="L12" s="6" t="s">
        <v>252</v>
      </c>
      <c r="M12" s="8" t="s">
        <v>254</v>
      </c>
      <c r="N12" s="9" t="s">
        <v>60</v>
      </c>
      <c r="O12" s="9" t="s">
        <v>258</v>
      </c>
      <c r="P12" s="10">
        <v>14.61</v>
      </c>
      <c r="Q12" s="10">
        <v>12.3</v>
      </c>
      <c r="R12" s="10">
        <v>43.9</v>
      </c>
      <c r="S12" s="6">
        <v>8506.4599999999991</v>
      </c>
      <c r="T12" s="10">
        <v>9534.4699999999993</v>
      </c>
      <c r="U12" s="11">
        <f t="shared" si="0"/>
        <v>8505.3256021409452</v>
      </c>
      <c r="V12" s="10">
        <v>70.44</v>
      </c>
      <c r="W12" s="10">
        <v>55.17</v>
      </c>
      <c r="X12" s="7">
        <v>0</v>
      </c>
    </row>
    <row r="13" spans="1:24" hidden="1" x14ac:dyDescent="0.25">
      <c r="A13">
        <v>2025</v>
      </c>
      <c r="B13" s="2" t="s">
        <v>186</v>
      </c>
      <c r="C13" s="6" t="s">
        <v>187</v>
      </c>
      <c r="D13" s="6" t="s">
        <v>188</v>
      </c>
      <c r="E13" s="6" t="s">
        <v>22</v>
      </c>
      <c r="F13" s="7" t="s">
        <v>200</v>
      </c>
      <c r="G13" s="7">
        <v>205</v>
      </c>
      <c r="H13" s="6">
        <v>5</v>
      </c>
      <c r="I13" s="6">
        <v>2</v>
      </c>
      <c r="J13" s="6">
        <v>1</v>
      </c>
      <c r="K13" s="6">
        <v>8</v>
      </c>
      <c r="L13" s="6" t="s">
        <v>252</v>
      </c>
      <c r="M13" s="8" t="s">
        <v>31</v>
      </c>
      <c r="N13" s="9" t="s">
        <v>61</v>
      </c>
      <c r="O13" s="9" t="s">
        <v>259</v>
      </c>
      <c r="P13" s="10">
        <v>13.94</v>
      </c>
      <c r="Q13" s="10">
        <v>11.4</v>
      </c>
      <c r="R13" s="10">
        <v>42.5</v>
      </c>
      <c r="S13" s="6">
        <v>8199.66</v>
      </c>
      <c r="T13" s="10">
        <v>9190.59</v>
      </c>
      <c r="U13" s="11">
        <f t="shared" si="0"/>
        <v>8198.5637823371999</v>
      </c>
      <c r="V13" s="10">
        <v>71.27</v>
      </c>
      <c r="W13" s="10">
        <v>56.29</v>
      </c>
      <c r="X13" s="7">
        <v>1</v>
      </c>
    </row>
    <row r="14" spans="1:24" hidden="1" x14ac:dyDescent="0.25">
      <c r="A14" s="3">
        <v>2025</v>
      </c>
      <c r="B14" s="2" t="s">
        <v>186</v>
      </c>
      <c r="C14" s="6" t="s">
        <v>187</v>
      </c>
      <c r="D14" s="6" t="s">
        <v>188</v>
      </c>
      <c r="E14" s="6" t="s">
        <v>22</v>
      </c>
      <c r="F14" s="7" t="s">
        <v>201</v>
      </c>
      <c r="G14" s="7">
        <v>206</v>
      </c>
      <c r="H14" s="6">
        <v>6</v>
      </c>
      <c r="I14" s="6">
        <v>2</v>
      </c>
      <c r="J14" s="6">
        <v>1</v>
      </c>
      <c r="K14" s="6">
        <v>4</v>
      </c>
      <c r="L14" s="6" t="s">
        <v>252</v>
      </c>
      <c r="M14" s="8" t="s">
        <v>31</v>
      </c>
      <c r="N14" s="9" t="s">
        <v>58</v>
      </c>
      <c r="O14" s="9" t="s">
        <v>259</v>
      </c>
      <c r="P14" s="10">
        <v>13.87</v>
      </c>
      <c r="Q14" s="10">
        <v>11.8</v>
      </c>
      <c r="R14" s="10">
        <v>43.6</v>
      </c>
      <c r="S14" s="6">
        <v>8121.65</v>
      </c>
      <c r="T14" s="10">
        <v>9103.15</v>
      </c>
      <c r="U14" s="11">
        <f t="shared" si="0"/>
        <v>8120.5619982158787</v>
      </c>
      <c r="V14" s="10">
        <v>70.73</v>
      </c>
      <c r="W14" s="10">
        <v>55.93</v>
      </c>
      <c r="X14" s="7">
        <v>0</v>
      </c>
    </row>
    <row r="15" spans="1:24" hidden="1" x14ac:dyDescent="0.25">
      <c r="A15">
        <v>2025</v>
      </c>
      <c r="B15" s="2" t="s">
        <v>186</v>
      </c>
      <c r="C15" s="6" t="s">
        <v>187</v>
      </c>
      <c r="D15" s="6" t="s">
        <v>188</v>
      </c>
      <c r="E15" s="6" t="s">
        <v>22</v>
      </c>
      <c r="F15" s="7" t="s">
        <v>202</v>
      </c>
      <c r="G15" s="7">
        <v>207</v>
      </c>
      <c r="H15" s="6">
        <v>7</v>
      </c>
      <c r="I15" s="6">
        <v>2</v>
      </c>
      <c r="J15" s="6">
        <v>1</v>
      </c>
      <c r="K15" s="6">
        <v>2</v>
      </c>
      <c r="L15" s="6" t="s">
        <v>252</v>
      </c>
      <c r="M15" s="8" t="s">
        <v>469</v>
      </c>
      <c r="N15" s="8" t="s">
        <v>469</v>
      </c>
      <c r="O15" s="8" t="s">
        <v>469</v>
      </c>
      <c r="P15" s="10">
        <v>12.67</v>
      </c>
      <c r="Q15" s="10">
        <v>12.2</v>
      </c>
      <c r="R15" s="10">
        <v>42.5</v>
      </c>
      <c r="S15" s="6">
        <v>7385.34</v>
      </c>
      <c r="T15" s="10">
        <v>8277.86</v>
      </c>
      <c r="U15" s="11">
        <f t="shared" si="0"/>
        <v>7384.3532560214098</v>
      </c>
      <c r="V15" s="10">
        <v>70.64</v>
      </c>
      <c r="W15" s="10">
        <v>55.26</v>
      </c>
      <c r="X15" s="7">
        <v>0</v>
      </c>
    </row>
    <row r="16" spans="1:24" hidden="1" x14ac:dyDescent="0.25">
      <c r="A16" s="3">
        <v>2025</v>
      </c>
      <c r="B16" s="2" t="s">
        <v>186</v>
      </c>
      <c r="C16" s="6" t="s">
        <v>187</v>
      </c>
      <c r="D16" s="6" t="s">
        <v>188</v>
      </c>
      <c r="E16" s="6" t="s">
        <v>22</v>
      </c>
      <c r="F16" s="7" t="s">
        <v>203</v>
      </c>
      <c r="G16" s="7">
        <v>301</v>
      </c>
      <c r="H16" s="6">
        <v>1</v>
      </c>
      <c r="I16" s="6">
        <v>3</v>
      </c>
      <c r="J16" s="6">
        <v>1</v>
      </c>
      <c r="K16" s="6">
        <v>11</v>
      </c>
      <c r="L16" s="6" t="s">
        <v>252</v>
      </c>
      <c r="M16" s="8" t="s">
        <v>253</v>
      </c>
      <c r="N16" s="9" t="s">
        <v>60</v>
      </c>
      <c r="O16" s="9" t="s">
        <v>257</v>
      </c>
      <c r="P16" s="10">
        <v>13.94</v>
      </c>
      <c r="Q16" s="10">
        <v>12.6</v>
      </c>
      <c r="R16" s="10">
        <v>43.7</v>
      </c>
      <c r="S16" s="6">
        <v>8088.6</v>
      </c>
      <c r="T16" s="10">
        <v>9066.11</v>
      </c>
      <c r="U16" s="11">
        <f t="shared" si="0"/>
        <v>8087.5200713648537</v>
      </c>
      <c r="V16" s="10">
        <v>70.53</v>
      </c>
      <c r="W16" s="10">
        <v>52.61</v>
      </c>
      <c r="X16" s="7">
        <v>1</v>
      </c>
    </row>
    <row r="17" spans="1:24" hidden="1" x14ac:dyDescent="0.25">
      <c r="A17">
        <v>2025</v>
      </c>
      <c r="B17" s="2" t="s">
        <v>186</v>
      </c>
      <c r="C17" s="6" t="s">
        <v>187</v>
      </c>
      <c r="D17" s="6" t="s">
        <v>188</v>
      </c>
      <c r="E17" s="6" t="s">
        <v>22</v>
      </c>
      <c r="F17" s="7" t="s">
        <v>204</v>
      </c>
      <c r="G17" s="7">
        <v>302</v>
      </c>
      <c r="H17" s="6">
        <v>2</v>
      </c>
      <c r="I17" s="6">
        <v>3</v>
      </c>
      <c r="J17" s="6">
        <v>1</v>
      </c>
      <c r="K17" s="6">
        <v>7</v>
      </c>
      <c r="L17" s="6" t="s">
        <v>252</v>
      </c>
      <c r="M17" s="8" t="s">
        <v>31</v>
      </c>
      <c r="N17" s="9" t="s">
        <v>59</v>
      </c>
      <c r="O17" s="9" t="s">
        <v>259</v>
      </c>
      <c r="P17" s="10">
        <v>14.15</v>
      </c>
      <c r="Q17" s="10">
        <v>12.4</v>
      </c>
      <c r="R17" s="10">
        <v>43.7</v>
      </c>
      <c r="S17" s="6">
        <v>8229.24</v>
      </c>
      <c r="T17" s="10">
        <v>9223.75</v>
      </c>
      <c r="U17" s="11">
        <f t="shared" si="0"/>
        <v>8228.144513826941</v>
      </c>
      <c r="V17" s="10">
        <v>70.209999999999994</v>
      </c>
      <c r="W17" s="10">
        <v>53.53</v>
      </c>
      <c r="X17" s="7">
        <v>0</v>
      </c>
    </row>
    <row r="18" spans="1:24" hidden="1" x14ac:dyDescent="0.25">
      <c r="A18" s="3">
        <v>2025</v>
      </c>
      <c r="B18" s="2" t="s">
        <v>186</v>
      </c>
      <c r="C18" s="6" t="s">
        <v>187</v>
      </c>
      <c r="D18" s="6" t="s">
        <v>188</v>
      </c>
      <c r="E18" s="6" t="s">
        <v>22</v>
      </c>
      <c r="F18" s="7" t="s">
        <v>205</v>
      </c>
      <c r="G18" s="7">
        <v>303</v>
      </c>
      <c r="H18" s="6">
        <v>3</v>
      </c>
      <c r="I18" s="6">
        <v>3</v>
      </c>
      <c r="J18" s="6">
        <v>1</v>
      </c>
      <c r="K18" s="6">
        <v>9</v>
      </c>
      <c r="L18" s="6" t="s">
        <v>252</v>
      </c>
      <c r="M18" s="8" t="s">
        <v>253</v>
      </c>
      <c r="N18" s="9" t="s">
        <v>57</v>
      </c>
      <c r="O18" s="9" t="s">
        <v>257</v>
      </c>
      <c r="P18" s="10">
        <v>12.41</v>
      </c>
      <c r="Q18" s="10">
        <v>12.1</v>
      </c>
      <c r="R18" s="10">
        <v>43.3</v>
      </c>
      <c r="S18" s="6">
        <v>7242.02</v>
      </c>
      <c r="T18" s="10">
        <v>8117.22</v>
      </c>
      <c r="U18" s="11">
        <f t="shared" si="0"/>
        <v>7241.0526315789475</v>
      </c>
      <c r="V18" s="10">
        <v>70.25</v>
      </c>
      <c r="W18" s="10">
        <v>53.04</v>
      </c>
      <c r="X18" s="7">
        <v>0</v>
      </c>
    </row>
    <row r="19" spans="1:24" hidden="1" x14ac:dyDescent="0.25">
      <c r="A19">
        <v>2025</v>
      </c>
      <c r="B19" s="2" t="s">
        <v>186</v>
      </c>
      <c r="C19" s="6" t="s">
        <v>187</v>
      </c>
      <c r="D19" s="6" t="s">
        <v>188</v>
      </c>
      <c r="E19" s="6" t="s">
        <v>22</v>
      </c>
      <c r="F19" s="7" t="s">
        <v>206</v>
      </c>
      <c r="G19" s="7">
        <v>304</v>
      </c>
      <c r="H19" s="6">
        <v>4</v>
      </c>
      <c r="I19" s="6">
        <v>3</v>
      </c>
      <c r="J19" s="6">
        <v>1</v>
      </c>
      <c r="K19" s="6">
        <v>21</v>
      </c>
      <c r="L19" s="6" t="s">
        <v>252</v>
      </c>
      <c r="M19" s="8" t="s">
        <v>469</v>
      </c>
      <c r="N19" s="8" t="s">
        <v>469</v>
      </c>
      <c r="O19" s="8" t="s">
        <v>469</v>
      </c>
      <c r="P19" s="10">
        <v>12.71</v>
      </c>
      <c r="Q19" s="10">
        <v>12.6</v>
      </c>
      <c r="R19" s="10">
        <v>44</v>
      </c>
      <c r="S19" s="6">
        <v>7374.9</v>
      </c>
      <c r="T19" s="10">
        <v>8266.16</v>
      </c>
      <c r="U19" s="11">
        <f t="shared" si="0"/>
        <v>7373.9161462979482</v>
      </c>
      <c r="V19" s="10">
        <v>69.81</v>
      </c>
      <c r="W19" s="10">
        <v>51.76</v>
      </c>
      <c r="X19" s="7">
        <v>0</v>
      </c>
    </row>
    <row r="20" spans="1:24" hidden="1" x14ac:dyDescent="0.25">
      <c r="A20" s="3">
        <v>2025</v>
      </c>
      <c r="B20" s="2" t="s">
        <v>186</v>
      </c>
      <c r="C20" s="6" t="s">
        <v>187</v>
      </c>
      <c r="D20" s="6" t="s">
        <v>188</v>
      </c>
      <c r="E20" s="6" t="s">
        <v>22</v>
      </c>
      <c r="F20" s="7" t="s">
        <v>207</v>
      </c>
      <c r="G20" s="7">
        <v>305</v>
      </c>
      <c r="H20" s="6">
        <v>5</v>
      </c>
      <c r="I20" s="6">
        <v>3</v>
      </c>
      <c r="J20" s="6">
        <v>1</v>
      </c>
      <c r="K20" s="6">
        <v>12</v>
      </c>
      <c r="L20" s="6" t="s">
        <v>252</v>
      </c>
      <c r="M20" s="8" t="s">
        <v>253</v>
      </c>
      <c r="N20" s="9" t="s">
        <v>62</v>
      </c>
      <c r="O20" s="9" t="s">
        <v>257</v>
      </c>
      <c r="P20" s="10">
        <v>12.93</v>
      </c>
      <c r="Q20" s="10">
        <v>11.8</v>
      </c>
      <c r="R20" s="10">
        <v>43.1</v>
      </c>
      <c r="S20" s="6">
        <v>7571.23</v>
      </c>
      <c r="T20" s="10">
        <v>8486.2099999999991</v>
      </c>
      <c r="U20" s="11">
        <f t="shared" si="0"/>
        <v>7570.2140945584288</v>
      </c>
      <c r="V20" s="10">
        <v>70.34</v>
      </c>
      <c r="W20" s="10">
        <v>54.67</v>
      </c>
      <c r="X20" s="7">
        <v>0</v>
      </c>
    </row>
    <row r="21" spans="1:24" hidden="1" x14ac:dyDescent="0.25">
      <c r="A21">
        <v>2025</v>
      </c>
      <c r="B21" s="2" t="s">
        <v>186</v>
      </c>
      <c r="C21" s="6" t="s">
        <v>187</v>
      </c>
      <c r="D21" s="6" t="s">
        <v>188</v>
      </c>
      <c r="E21" s="6" t="s">
        <v>22</v>
      </c>
      <c r="F21" s="7" t="s">
        <v>208</v>
      </c>
      <c r="G21" s="7">
        <v>306</v>
      </c>
      <c r="H21" s="6">
        <v>6</v>
      </c>
      <c r="I21" s="6">
        <v>3</v>
      </c>
      <c r="J21" s="6">
        <v>1</v>
      </c>
      <c r="K21" s="6">
        <v>5</v>
      </c>
      <c r="L21" s="6" t="s">
        <v>252</v>
      </c>
      <c r="M21" s="8" t="s">
        <v>31</v>
      </c>
      <c r="N21" s="9" t="s">
        <v>60</v>
      </c>
      <c r="O21" s="9" t="s">
        <v>259</v>
      </c>
      <c r="P21" s="10">
        <v>14.57</v>
      </c>
      <c r="Q21" s="10">
        <v>12.4</v>
      </c>
      <c r="R21" s="10">
        <v>44.2</v>
      </c>
      <c r="S21" s="6">
        <v>8473.5</v>
      </c>
      <c r="T21" s="10">
        <v>9497.5300000000007</v>
      </c>
      <c r="U21" s="11">
        <f t="shared" si="0"/>
        <v>8472.3728813559337</v>
      </c>
      <c r="V21" s="10">
        <v>70.58</v>
      </c>
      <c r="W21" s="10">
        <v>54.38</v>
      </c>
      <c r="X21" s="7">
        <v>1</v>
      </c>
    </row>
    <row r="22" spans="1:24" hidden="1" x14ac:dyDescent="0.25">
      <c r="A22" s="3">
        <v>2025</v>
      </c>
      <c r="B22" s="2" t="s">
        <v>186</v>
      </c>
      <c r="C22" s="6" t="s">
        <v>187</v>
      </c>
      <c r="D22" s="6" t="s">
        <v>188</v>
      </c>
      <c r="E22" s="6" t="s">
        <v>22</v>
      </c>
      <c r="F22" s="7" t="s">
        <v>209</v>
      </c>
      <c r="G22" s="7">
        <v>307</v>
      </c>
      <c r="H22" s="6">
        <v>7</v>
      </c>
      <c r="I22" s="6">
        <v>3</v>
      </c>
      <c r="J22" s="6">
        <v>1</v>
      </c>
      <c r="K22" s="6">
        <v>18</v>
      </c>
      <c r="L22" s="6" t="s">
        <v>252</v>
      </c>
      <c r="M22" s="8" t="s">
        <v>254</v>
      </c>
      <c r="N22" s="9" t="s">
        <v>62</v>
      </c>
      <c r="O22" s="9" t="s">
        <v>258</v>
      </c>
      <c r="P22" s="10">
        <v>13.98</v>
      </c>
      <c r="Q22" s="10">
        <v>12.5</v>
      </c>
      <c r="R22" s="10">
        <v>43.6</v>
      </c>
      <c r="S22" s="6">
        <v>8121.09</v>
      </c>
      <c r="T22" s="10">
        <v>9102.5300000000007</v>
      </c>
      <c r="U22" s="11">
        <f t="shared" si="0"/>
        <v>8120.0089206066023</v>
      </c>
      <c r="V22" s="10">
        <v>70.72</v>
      </c>
      <c r="W22" s="10">
        <v>55.81</v>
      </c>
      <c r="X22" s="7">
        <v>0</v>
      </c>
    </row>
    <row r="23" spans="1:24" hidden="1" x14ac:dyDescent="0.25">
      <c r="A23">
        <v>2025</v>
      </c>
      <c r="B23" s="2" t="s">
        <v>186</v>
      </c>
      <c r="C23" s="6" t="s">
        <v>187</v>
      </c>
      <c r="D23" s="6" t="s">
        <v>188</v>
      </c>
      <c r="E23" s="6" t="s">
        <v>22</v>
      </c>
      <c r="F23" s="7" t="s">
        <v>210</v>
      </c>
      <c r="G23" s="7">
        <v>401</v>
      </c>
      <c r="H23" s="6">
        <v>1</v>
      </c>
      <c r="I23" s="6">
        <v>4</v>
      </c>
      <c r="J23" s="6">
        <v>2</v>
      </c>
      <c r="K23" s="6">
        <v>5</v>
      </c>
      <c r="L23" s="6" t="s">
        <v>252</v>
      </c>
      <c r="M23" s="8" t="s">
        <v>31</v>
      </c>
      <c r="N23" s="9" t="s">
        <v>60</v>
      </c>
      <c r="O23" s="9" t="s">
        <v>259</v>
      </c>
      <c r="P23" s="10">
        <v>13.32</v>
      </c>
      <c r="Q23" s="10">
        <v>12.4</v>
      </c>
      <c r="R23" s="10">
        <v>43.8</v>
      </c>
      <c r="S23" s="6">
        <v>7746.54</v>
      </c>
      <c r="T23" s="10">
        <v>8682.7099999999991</v>
      </c>
      <c r="U23" s="11">
        <f t="shared" si="0"/>
        <v>7745.5040142729695</v>
      </c>
      <c r="V23" s="10">
        <v>70.81</v>
      </c>
      <c r="W23" s="10">
        <v>53.43</v>
      </c>
      <c r="X23" s="7">
        <v>0</v>
      </c>
    </row>
    <row r="24" spans="1:24" hidden="1" x14ac:dyDescent="0.25">
      <c r="A24" s="3">
        <v>2025</v>
      </c>
      <c r="B24" s="2" t="s">
        <v>186</v>
      </c>
      <c r="C24" s="6" t="s">
        <v>187</v>
      </c>
      <c r="D24" s="6" t="s">
        <v>188</v>
      </c>
      <c r="E24" s="6" t="s">
        <v>22</v>
      </c>
      <c r="F24" s="7" t="s">
        <v>211</v>
      </c>
      <c r="G24" s="7">
        <v>402</v>
      </c>
      <c r="H24" s="6">
        <v>2</v>
      </c>
      <c r="I24" s="6">
        <v>4</v>
      </c>
      <c r="J24" s="6">
        <v>2</v>
      </c>
      <c r="K24" s="6">
        <v>17</v>
      </c>
      <c r="L24" s="6" t="s">
        <v>252</v>
      </c>
      <c r="M24" s="8" t="s">
        <v>254</v>
      </c>
      <c r="N24" s="9" t="s">
        <v>60</v>
      </c>
      <c r="O24" s="9" t="s">
        <v>258</v>
      </c>
      <c r="P24" s="10">
        <v>14.55</v>
      </c>
      <c r="Q24" s="10">
        <v>12.2</v>
      </c>
      <c r="R24" s="10">
        <v>43.4</v>
      </c>
      <c r="S24" s="6">
        <v>8481.19</v>
      </c>
      <c r="T24" s="10">
        <v>9506.14</v>
      </c>
      <c r="U24" s="11">
        <f t="shared" si="0"/>
        <v>8480.0535236396063</v>
      </c>
      <c r="V24" s="10">
        <v>69.72</v>
      </c>
      <c r="W24" s="10">
        <v>53.23</v>
      </c>
      <c r="X24" s="7">
        <v>0</v>
      </c>
    </row>
    <row r="25" spans="1:24" hidden="1" x14ac:dyDescent="0.25">
      <c r="A25">
        <v>2025</v>
      </c>
      <c r="B25" s="2" t="s">
        <v>186</v>
      </c>
      <c r="C25" s="6" t="s">
        <v>187</v>
      </c>
      <c r="D25" s="6" t="s">
        <v>188</v>
      </c>
      <c r="E25" s="6" t="s">
        <v>22</v>
      </c>
      <c r="F25" s="7" t="s">
        <v>212</v>
      </c>
      <c r="G25" s="7">
        <v>403</v>
      </c>
      <c r="H25" s="6">
        <v>3</v>
      </c>
      <c r="I25" s="6">
        <v>4</v>
      </c>
      <c r="J25" s="6">
        <v>2</v>
      </c>
      <c r="K25" s="6">
        <v>11</v>
      </c>
      <c r="L25" s="6" t="s">
        <v>252</v>
      </c>
      <c r="M25" s="8" t="s">
        <v>253</v>
      </c>
      <c r="N25" s="9" t="s">
        <v>60</v>
      </c>
      <c r="O25" s="9" t="s">
        <v>257</v>
      </c>
      <c r="P25" s="10">
        <v>13.76</v>
      </c>
      <c r="Q25" s="10">
        <v>12.2</v>
      </c>
      <c r="R25" s="10">
        <v>43</v>
      </c>
      <c r="S25" s="6">
        <v>8020.7</v>
      </c>
      <c r="T25" s="10">
        <v>8990</v>
      </c>
      <c r="U25" s="11">
        <f t="shared" si="0"/>
        <v>8019.6253345227478</v>
      </c>
      <c r="V25" s="10">
        <v>70.33</v>
      </c>
      <c r="W25" s="10">
        <v>53.16</v>
      </c>
      <c r="X25" s="7">
        <v>1</v>
      </c>
    </row>
    <row r="26" spans="1:24" hidden="1" x14ac:dyDescent="0.25">
      <c r="A26" s="3">
        <v>2025</v>
      </c>
      <c r="B26" s="2" t="s">
        <v>186</v>
      </c>
      <c r="C26" s="6" t="s">
        <v>187</v>
      </c>
      <c r="D26" s="6" t="s">
        <v>188</v>
      </c>
      <c r="E26" s="6" t="s">
        <v>22</v>
      </c>
      <c r="F26" s="7" t="s">
        <v>213</v>
      </c>
      <c r="G26" s="7">
        <v>404</v>
      </c>
      <c r="H26" s="6">
        <v>4</v>
      </c>
      <c r="I26" s="6">
        <v>4</v>
      </c>
      <c r="J26" s="6">
        <v>2</v>
      </c>
      <c r="K26" s="6">
        <v>13</v>
      </c>
      <c r="L26" s="6" t="s">
        <v>252</v>
      </c>
      <c r="M26" s="8" t="s">
        <v>253</v>
      </c>
      <c r="N26" s="9" t="s">
        <v>59</v>
      </c>
      <c r="O26" s="9" t="s">
        <v>257</v>
      </c>
      <c r="P26" s="10">
        <v>13.82</v>
      </c>
      <c r="Q26" s="10">
        <v>12.7</v>
      </c>
      <c r="R26" s="10">
        <v>43.7</v>
      </c>
      <c r="S26" s="6">
        <v>8009.8</v>
      </c>
      <c r="T26" s="10">
        <v>8977.7800000000007</v>
      </c>
      <c r="U26" s="11">
        <f t="shared" si="0"/>
        <v>8008.7243532560224</v>
      </c>
      <c r="V26" s="10">
        <v>70.37</v>
      </c>
      <c r="W26" s="10">
        <v>56.13</v>
      </c>
      <c r="X26" s="7">
        <v>0</v>
      </c>
    </row>
    <row r="27" spans="1:24" hidden="1" x14ac:dyDescent="0.25">
      <c r="A27">
        <v>2025</v>
      </c>
      <c r="B27" s="2" t="s">
        <v>186</v>
      </c>
      <c r="C27" s="6" t="s">
        <v>187</v>
      </c>
      <c r="D27" s="6" t="s">
        <v>188</v>
      </c>
      <c r="E27" s="6" t="s">
        <v>22</v>
      </c>
      <c r="F27" s="7" t="s">
        <v>214</v>
      </c>
      <c r="G27" s="7">
        <v>405</v>
      </c>
      <c r="H27" s="6">
        <v>5</v>
      </c>
      <c r="I27" s="6">
        <v>4</v>
      </c>
      <c r="J27" s="6">
        <v>2</v>
      </c>
      <c r="K27" s="6">
        <v>3</v>
      </c>
      <c r="L27" s="6" t="s">
        <v>252</v>
      </c>
      <c r="M27" s="8" t="s">
        <v>31</v>
      </c>
      <c r="N27" s="9" t="s">
        <v>57</v>
      </c>
      <c r="O27" s="9" t="s">
        <v>259</v>
      </c>
      <c r="P27" s="10">
        <v>14.18</v>
      </c>
      <c r="Q27" s="10">
        <v>12.1</v>
      </c>
      <c r="R27" s="10">
        <v>43.6</v>
      </c>
      <c r="S27" s="6">
        <v>8274.93</v>
      </c>
      <c r="T27" s="10">
        <v>9274.9599999999991</v>
      </c>
      <c r="U27" s="11">
        <f t="shared" si="0"/>
        <v>8273.8269402319347</v>
      </c>
      <c r="V27" s="10">
        <v>70.61</v>
      </c>
      <c r="W27" s="10">
        <v>54.77</v>
      </c>
      <c r="X27" s="7">
        <v>0</v>
      </c>
    </row>
    <row r="28" spans="1:24" hidden="1" x14ac:dyDescent="0.25">
      <c r="A28" s="3">
        <v>2025</v>
      </c>
      <c r="B28" s="2" t="s">
        <v>186</v>
      </c>
      <c r="C28" s="6" t="s">
        <v>187</v>
      </c>
      <c r="D28" s="6" t="s">
        <v>188</v>
      </c>
      <c r="E28" s="6" t="s">
        <v>22</v>
      </c>
      <c r="F28" s="7" t="s">
        <v>215</v>
      </c>
      <c r="G28" s="7">
        <v>406</v>
      </c>
      <c r="H28" s="6">
        <v>6</v>
      </c>
      <c r="I28" s="6">
        <v>4</v>
      </c>
      <c r="J28" s="6">
        <v>2</v>
      </c>
      <c r="K28" s="6">
        <v>1</v>
      </c>
      <c r="L28" s="6" t="s">
        <v>252</v>
      </c>
      <c r="M28" s="8" t="s">
        <v>469</v>
      </c>
      <c r="N28" s="8" t="s">
        <v>469</v>
      </c>
      <c r="O28" s="8" t="s">
        <v>469</v>
      </c>
      <c r="P28" s="10">
        <v>14.24</v>
      </c>
      <c r="Q28" s="10">
        <v>12.2</v>
      </c>
      <c r="R28" s="10">
        <v>43.7</v>
      </c>
      <c r="S28" s="6">
        <v>8300.49</v>
      </c>
      <c r="T28" s="10">
        <v>9303.61</v>
      </c>
      <c r="U28" s="11">
        <f t="shared" si="0"/>
        <v>8299.384478144515</v>
      </c>
      <c r="V28" s="10">
        <v>70.19</v>
      </c>
      <c r="W28" s="10">
        <v>55.23</v>
      </c>
      <c r="X28" s="7">
        <v>1</v>
      </c>
    </row>
    <row r="29" spans="1:24" hidden="1" x14ac:dyDescent="0.25">
      <c r="A29">
        <v>2025</v>
      </c>
      <c r="B29" s="2" t="s">
        <v>186</v>
      </c>
      <c r="C29" s="6" t="s">
        <v>187</v>
      </c>
      <c r="D29" s="6" t="s">
        <v>188</v>
      </c>
      <c r="E29" s="6" t="s">
        <v>22</v>
      </c>
      <c r="F29" s="7" t="s">
        <v>216</v>
      </c>
      <c r="G29" s="7">
        <v>407</v>
      </c>
      <c r="H29" s="6">
        <v>7</v>
      </c>
      <c r="I29" s="6">
        <v>4</v>
      </c>
      <c r="J29" s="6">
        <v>2</v>
      </c>
      <c r="K29" s="6">
        <v>18</v>
      </c>
      <c r="L29" s="6" t="s">
        <v>252</v>
      </c>
      <c r="M29" s="8" t="s">
        <v>254</v>
      </c>
      <c r="N29" s="9" t="s">
        <v>62</v>
      </c>
      <c r="O29" s="9" t="s">
        <v>258</v>
      </c>
      <c r="P29" s="10">
        <v>14.32</v>
      </c>
      <c r="Q29" s="10">
        <v>12.4</v>
      </c>
      <c r="R29" s="10">
        <v>43.3</v>
      </c>
      <c r="S29" s="10">
        <v>8328.11</v>
      </c>
      <c r="T29" s="10">
        <v>9334.56</v>
      </c>
      <c r="U29" s="11">
        <f t="shared" si="0"/>
        <v>8326.9937555753786</v>
      </c>
      <c r="V29" s="10">
        <v>71</v>
      </c>
      <c r="W29" s="10">
        <v>56.84</v>
      </c>
      <c r="X29" s="7">
        <v>1</v>
      </c>
    </row>
    <row r="30" spans="1:24" hidden="1" x14ac:dyDescent="0.25">
      <c r="A30" s="3">
        <v>2025</v>
      </c>
      <c r="B30" s="2" t="s">
        <v>186</v>
      </c>
      <c r="C30" s="6" t="s">
        <v>187</v>
      </c>
      <c r="D30" s="6" t="s">
        <v>188</v>
      </c>
      <c r="E30" s="6" t="s">
        <v>22</v>
      </c>
      <c r="F30" s="7" t="s">
        <v>217</v>
      </c>
      <c r="G30" s="7">
        <v>501</v>
      </c>
      <c r="H30" s="6">
        <v>1</v>
      </c>
      <c r="I30" s="6">
        <v>5</v>
      </c>
      <c r="J30" s="6">
        <v>2</v>
      </c>
      <c r="K30" s="6">
        <v>14</v>
      </c>
      <c r="L30" s="6" t="s">
        <v>252</v>
      </c>
      <c r="M30" s="8" t="s">
        <v>253</v>
      </c>
      <c r="N30" s="9" t="s">
        <v>61</v>
      </c>
      <c r="O30" s="9" t="s">
        <v>257</v>
      </c>
      <c r="P30" s="10">
        <v>13.81</v>
      </c>
      <c r="Q30" s="10">
        <v>13.1</v>
      </c>
      <c r="R30" s="10">
        <v>44.4</v>
      </c>
      <c r="S30" s="10">
        <v>7967.33</v>
      </c>
      <c r="T30" s="10">
        <v>8930.18</v>
      </c>
      <c r="U30" s="11">
        <f t="shared" si="0"/>
        <v>7966.262265834077</v>
      </c>
      <c r="V30" s="10">
        <v>70.81</v>
      </c>
      <c r="W30" s="10">
        <v>56.94</v>
      </c>
      <c r="X30" s="7">
        <v>0</v>
      </c>
    </row>
    <row r="31" spans="1:24" hidden="1" x14ac:dyDescent="0.25">
      <c r="A31">
        <v>2025</v>
      </c>
      <c r="B31" s="2" t="s">
        <v>186</v>
      </c>
      <c r="C31" s="6" t="s">
        <v>187</v>
      </c>
      <c r="D31" s="6" t="s">
        <v>188</v>
      </c>
      <c r="E31" s="6" t="s">
        <v>22</v>
      </c>
      <c r="F31" s="7" t="s">
        <v>218</v>
      </c>
      <c r="G31" s="7">
        <v>502</v>
      </c>
      <c r="H31" s="6">
        <v>2</v>
      </c>
      <c r="I31" s="6">
        <v>5</v>
      </c>
      <c r="J31" s="6">
        <v>2</v>
      </c>
      <c r="K31" s="6">
        <v>9</v>
      </c>
      <c r="L31" s="6" t="s">
        <v>252</v>
      </c>
      <c r="M31" s="8" t="s">
        <v>253</v>
      </c>
      <c r="N31" s="9" t="s">
        <v>57</v>
      </c>
      <c r="O31" s="9" t="s">
        <v>257</v>
      </c>
      <c r="P31" s="10">
        <v>13.12</v>
      </c>
      <c r="Q31" s="10">
        <v>12.4</v>
      </c>
      <c r="R31" s="10">
        <v>44.4</v>
      </c>
      <c r="S31" s="10">
        <v>7630.22</v>
      </c>
      <c r="T31" s="10">
        <v>8552.34</v>
      </c>
      <c r="U31" s="11">
        <f t="shared" si="0"/>
        <v>7629.2060660124889</v>
      </c>
      <c r="V31" s="10">
        <v>70.34</v>
      </c>
      <c r="W31" s="10">
        <v>53.64</v>
      </c>
      <c r="X31" s="7">
        <v>0</v>
      </c>
    </row>
    <row r="32" spans="1:24" hidden="1" x14ac:dyDescent="0.25">
      <c r="A32" s="3">
        <v>2025</v>
      </c>
      <c r="B32" s="2" t="s">
        <v>186</v>
      </c>
      <c r="C32" s="6" t="s">
        <v>187</v>
      </c>
      <c r="D32" s="6" t="s">
        <v>188</v>
      </c>
      <c r="E32" s="6" t="s">
        <v>22</v>
      </c>
      <c r="F32" s="7" t="s">
        <v>219</v>
      </c>
      <c r="G32" s="7">
        <v>503</v>
      </c>
      <c r="H32" s="6">
        <v>3</v>
      </c>
      <c r="I32" s="6">
        <v>5</v>
      </c>
      <c r="J32" s="6">
        <v>2</v>
      </c>
      <c r="K32" s="6">
        <v>16</v>
      </c>
      <c r="L32" s="6" t="s">
        <v>252</v>
      </c>
      <c r="M32" s="8" t="s">
        <v>254</v>
      </c>
      <c r="N32" s="9" t="s">
        <v>58</v>
      </c>
      <c r="O32" s="9" t="s">
        <v>258</v>
      </c>
      <c r="P32" s="10">
        <v>14.56</v>
      </c>
      <c r="Q32" s="10">
        <v>12.1</v>
      </c>
      <c r="R32" s="10">
        <v>43.4</v>
      </c>
      <c r="S32" s="10">
        <v>8496.69</v>
      </c>
      <c r="T32" s="10">
        <v>9523.51</v>
      </c>
      <c r="U32" s="11">
        <f t="shared" si="0"/>
        <v>8495.5486173059762</v>
      </c>
      <c r="V32" s="10">
        <v>70.88</v>
      </c>
      <c r="W32" s="10">
        <v>55.75</v>
      </c>
      <c r="X32" s="7">
        <v>0</v>
      </c>
    </row>
    <row r="33" spans="1:24" hidden="1" x14ac:dyDescent="0.25">
      <c r="A33">
        <v>2025</v>
      </c>
      <c r="B33" s="2" t="s">
        <v>186</v>
      </c>
      <c r="C33" s="6" t="s">
        <v>187</v>
      </c>
      <c r="D33" s="6" t="s">
        <v>188</v>
      </c>
      <c r="E33" s="6" t="s">
        <v>22</v>
      </c>
      <c r="F33" s="7" t="s">
        <v>220</v>
      </c>
      <c r="G33" s="7">
        <v>504</v>
      </c>
      <c r="H33" s="6">
        <v>4</v>
      </c>
      <c r="I33" s="6">
        <v>5</v>
      </c>
      <c r="J33" s="6">
        <v>2</v>
      </c>
      <c r="K33" s="6">
        <v>7</v>
      </c>
      <c r="L33" s="6" t="s">
        <v>252</v>
      </c>
      <c r="M33" s="8" t="s">
        <v>31</v>
      </c>
      <c r="N33" s="9" t="s">
        <v>59</v>
      </c>
      <c r="O33" s="9" t="s">
        <v>259</v>
      </c>
      <c r="P33" s="10">
        <v>13.59</v>
      </c>
      <c r="Q33" s="10">
        <v>13</v>
      </c>
      <c r="R33" s="10">
        <v>44.2</v>
      </c>
      <c r="S33" s="10">
        <v>7849.43</v>
      </c>
      <c r="T33" s="10">
        <v>8798.0300000000007</v>
      </c>
      <c r="U33" s="11">
        <f t="shared" si="0"/>
        <v>7848.3764495985733</v>
      </c>
      <c r="V33" s="10">
        <v>70.83</v>
      </c>
      <c r="W33" s="10">
        <v>56.19</v>
      </c>
      <c r="X33" s="7">
        <v>0</v>
      </c>
    </row>
    <row r="34" spans="1:24" hidden="1" x14ac:dyDescent="0.25">
      <c r="A34" s="3">
        <v>2025</v>
      </c>
      <c r="B34" s="2" t="s">
        <v>186</v>
      </c>
      <c r="C34" s="6" t="s">
        <v>187</v>
      </c>
      <c r="D34" s="6" t="s">
        <v>188</v>
      </c>
      <c r="E34" s="6" t="s">
        <v>22</v>
      </c>
      <c r="F34" s="7" t="s">
        <v>221</v>
      </c>
      <c r="G34" s="7">
        <v>505</v>
      </c>
      <c r="H34" s="6">
        <v>5</v>
      </c>
      <c r="I34" s="6">
        <v>5</v>
      </c>
      <c r="J34" s="6">
        <v>2</v>
      </c>
      <c r="K34" s="6">
        <v>8</v>
      </c>
      <c r="L34" s="6" t="s">
        <v>252</v>
      </c>
      <c r="M34" s="8" t="s">
        <v>31</v>
      </c>
      <c r="N34" s="9" t="s">
        <v>61</v>
      </c>
      <c r="O34" s="9" t="s">
        <v>259</v>
      </c>
      <c r="P34" s="10">
        <v>13.5</v>
      </c>
      <c r="Q34" s="10">
        <v>12</v>
      </c>
      <c r="R34" s="10">
        <v>42.6</v>
      </c>
      <c r="S34" s="10">
        <v>7887.07</v>
      </c>
      <c r="T34" s="10">
        <v>8840.2199999999993</v>
      </c>
      <c r="U34" s="11">
        <f t="shared" si="0"/>
        <v>7886.012488849241</v>
      </c>
      <c r="V34" s="10">
        <v>71.010000000000005</v>
      </c>
      <c r="W34" s="10">
        <v>54.84</v>
      </c>
      <c r="X34" s="7">
        <v>1</v>
      </c>
    </row>
    <row r="35" spans="1:24" hidden="1" x14ac:dyDescent="0.25">
      <c r="A35">
        <v>2025</v>
      </c>
      <c r="B35" s="2" t="s">
        <v>186</v>
      </c>
      <c r="C35" s="6" t="s">
        <v>187</v>
      </c>
      <c r="D35" s="6" t="s">
        <v>188</v>
      </c>
      <c r="E35" s="6" t="s">
        <v>22</v>
      </c>
      <c r="F35" s="7" t="s">
        <v>222</v>
      </c>
      <c r="G35" s="7">
        <v>506</v>
      </c>
      <c r="H35" s="6">
        <v>6</v>
      </c>
      <c r="I35" s="6">
        <v>5</v>
      </c>
      <c r="J35" s="6">
        <v>2</v>
      </c>
      <c r="K35" s="6">
        <v>6</v>
      </c>
      <c r="L35" s="6" t="s">
        <v>252</v>
      </c>
      <c r="M35" s="8" t="s">
        <v>31</v>
      </c>
      <c r="N35" s="9" t="s">
        <v>62</v>
      </c>
      <c r="O35" s="9" t="s">
        <v>259</v>
      </c>
      <c r="P35" s="10">
        <v>14.13</v>
      </c>
      <c r="Q35" s="10">
        <v>12.2</v>
      </c>
      <c r="R35" s="10">
        <v>43.4</v>
      </c>
      <c r="S35" s="10">
        <v>8236.3700000000008</v>
      </c>
      <c r="T35" s="10">
        <v>9231.74</v>
      </c>
      <c r="U35" s="11">
        <f t="shared" si="0"/>
        <v>8235.2720785013371</v>
      </c>
      <c r="V35" s="10">
        <v>71.849999999999994</v>
      </c>
      <c r="W35" s="10">
        <v>57.31</v>
      </c>
      <c r="X35" s="7">
        <v>0</v>
      </c>
    </row>
    <row r="36" spans="1:24" hidden="1" x14ac:dyDescent="0.25">
      <c r="A36" s="3">
        <v>2025</v>
      </c>
      <c r="B36" s="2" t="s">
        <v>186</v>
      </c>
      <c r="C36" s="6" t="s">
        <v>187</v>
      </c>
      <c r="D36" s="6" t="s">
        <v>188</v>
      </c>
      <c r="E36" s="6" t="s">
        <v>22</v>
      </c>
      <c r="F36" s="7" t="s">
        <v>223</v>
      </c>
      <c r="G36" s="7">
        <v>507</v>
      </c>
      <c r="H36" s="6">
        <v>7</v>
      </c>
      <c r="I36" s="6">
        <v>5</v>
      </c>
      <c r="J36" s="6">
        <v>2</v>
      </c>
      <c r="K36" s="6">
        <v>19</v>
      </c>
      <c r="L36" s="6" t="s">
        <v>252</v>
      </c>
      <c r="M36" s="8" t="s">
        <v>254</v>
      </c>
      <c r="N36" s="9" t="s">
        <v>59</v>
      </c>
      <c r="O36" s="9" t="s">
        <v>258</v>
      </c>
      <c r="P36" s="10">
        <v>14.43</v>
      </c>
      <c r="Q36" s="10">
        <v>12.6</v>
      </c>
      <c r="R36" s="10">
        <v>44.2</v>
      </c>
      <c r="S36" s="10">
        <v>8372.92</v>
      </c>
      <c r="T36" s="10">
        <v>9384.7900000000009</v>
      </c>
      <c r="U36" s="11">
        <f t="shared" si="0"/>
        <v>8371.8019625334528</v>
      </c>
      <c r="V36" s="10">
        <v>72.11</v>
      </c>
      <c r="W36" s="10">
        <v>60.44</v>
      </c>
      <c r="X36" s="7">
        <v>0</v>
      </c>
    </row>
    <row r="37" spans="1:24" hidden="1" x14ac:dyDescent="0.25">
      <c r="A37">
        <v>2025</v>
      </c>
      <c r="B37" s="2" t="s">
        <v>186</v>
      </c>
      <c r="C37" s="6" t="s">
        <v>187</v>
      </c>
      <c r="D37" s="6" t="s">
        <v>188</v>
      </c>
      <c r="E37" s="6" t="s">
        <v>22</v>
      </c>
      <c r="F37" s="7" t="s">
        <v>224</v>
      </c>
      <c r="G37" s="7">
        <v>601</v>
      </c>
      <c r="H37" s="6">
        <v>1</v>
      </c>
      <c r="I37" s="6">
        <v>6</v>
      </c>
      <c r="J37" s="6">
        <v>2</v>
      </c>
      <c r="K37" s="6">
        <v>15</v>
      </c>
      <c r="L37" s="6" t="s">
        <v>252</v>
      </c>
      <c r="M37" s="8" t="s">
        <v>254</v>
      </c>
      <c r="N37" s="9" t="s">
        <v>57</v>
      </c>
      <c r="O37" s="9" t="s">
        <v>258</v>
      </c>
      <c r="P37" s="10">
        <v>14.05</v>
      </c>
      <c r="Q37" s="10">
        <v>12.8</v>
      </c>
      <c r="R37" s="10">
        <v>44.7</v>
      </c>
      <c r="S37" s="10">
        <v>8133.77</v>
      </c>
      <c r="T37" s="10">
        <v>9116.74</v>
      </c>
      <c r="U37" s="11">
        <f t="shared" si="0"/>
        <v>8132.6851025869755</v>
      </c>
      <c r="V37" s="10">
        <v>72.13</v>
      </c>
      <c r="W37" s="10">
        <v>58.18</v>
      </c>
      <c r="X37" s="7">
        <v>0</v>
      </c>
    </row>
    <row r="38" spans="1:24" hidden="1" x14ac:dyDescent="0.25">
      <c r="A38" s="3">
        <v>2025</v>
      </c>
      <c r="B38" s="2" t="s">
        <v>186</v>
      </c>
      <c r="C38" s="6" t="s">
        <v>187</v>
      </c>
      <c r="D38" s="6" t="s">
        <v>188</v>
      </c>
      <c r="E38" s="6" t="s">
        <v>22</v>
      </c>
      <c r="F38" s="7" t="s">
        <v>225</v>
      </c>
      <c r="G38" s="7">
        <v>602</v>
      </c>
      <c r="H38" s="6">
        <v>2</v>
      </c>
      <c r="I38" s="6">
        <v>6</v>
      </c>
      <c r="J38" s="6">
        <v>2</v>
      </c>
      <c r="K38" s="6">
        <v>10</v>
      </c>
      <c r="L38" s="6" t="s">
        <v>252</v>
      </c>
      <c r="M38" s="8" t="s">
        <v>253</v>
      </c>
      <c r="N38" s="9" t="s">
        <v>58</v>
      </c>
      <c r="O38" s="9" t="s">
        <v>257</v>
      </c>
      <c r="P38" s="10">
        <v>13.68</v>
      </c>
      <c r="Q38" s="10">
        <v>12.3</v>
      </c>
      <c r="R38" s="10">
        <v>44.1</v>
      </c>
      <c r="S38" s="10">
        <v>7964.99</v>
      </c>
      <c r="T38" s="10">
        <v>8927.5499999999993</v>
      </c>
      <c r="U38" s="11">
        <f t="shared" si="0"/>
        <v>7963.9161462979473</v>
      </c>
      <c r="V38" s="10">
        <v>71.540000000000006</v>
      </c>
      <c r="W38" s="10">
        <v>55.87</v>
      </c>
      <c r="X38" s="7">
        <v>0</v>
      </c>
    </row>
    <row r="39" spans="1:24" hidden="1" x14ac:dyDescent="0.25">
      <c r="A39">
        <v>2025</v>
      </c>
      <c r="B39" s="2" t="s">
        <v>186</v>
      </c>
      <c r="C39" s="6" t="s">
        <v>187</v>
      </c>
      <c r="D39" s="6" t="s">
        <v>188</v>
      </c>
      <c r="E39" s="6" t="s">
        <v>22</v>
      </c>
      <c r="F39" s="7" t="s">
        <v>226</v>
      </c>
      <c r="G39" s="7">
        <v>603</v>
      </c>
      <c r="H39" s="6">
        <v>3</v>
      </c>
      <c r="I39" s="6">
        <v>6</v>
      </c>
      <c r="J39" s="6">
        <v>2</v>
      </c>
      <c r="K39" s="6">
        <v>4</v>
      </c>
      <c r="L39" s="6" t="s">
        <v>252</v>
      </c>
      <c r="M39" s="8" t="s">
        <v>31</v>
      </c>
      <c r="N39" s="9" t="s">
        <v>58</v>
      </c>
      <c r="O39" s="9" t="s">
        <v>259</v>
      </c>
      <c r="P39" s="10">
        <v>13.33</v>
      </c>
      <c r="Q39" s="10">
        <v>11.9</v>
      </c>
      <c r="R39" s="10">
        <v>43</v>
      </c>
      <c r="S39" s="10">
        <v>7796.6</v>
      </c>
      <c r="T39" s="10">
        <v>8738.82</v>
      </c>
      <c r="U39" s="11">
        <f t="shared" si="0"/>
        <v>7795.5575379125776</v>
      </c>
      <c r="V39" s="10">
        <v>71.78</v>
      </c>
      <c r="W39" s="10">
        <v>55.94</v>
      </c>
      <c r="X39" s="7">
        <v>0</v>
      </c>
    </row>
    <row r="40" spans="1:24" hidden="1" x14ac:dyDescent="0.25">
      <c r="A40" s="3">
        <v>2025</v>
      </c>
      <c r="B40" s="2" t="s">
        <v>186</v>
      </c>
      <c r="C40" s="6" t="s">
        <v>187</v>
      </c>
      <c r="D40" s="6" t="s">
        <v>188</v>
      </c>
      <c r="E40" s="6" t="s">
        <v>22</v>
      </c>
      <c r="F40" s="7" t="s">
        <v>227</v>
      </c>
      <c r="G40" s="7">
        <v>604</v>
      </c>
      <c r="H40" s="6">
        <v>4</v>
      </c>
      <c r="I40" s="6">
        <v>6</v>
      </c>
      <c r="J40" s="6">
        <v>2</v>
      </c>
      <c r="K40" s="6">
        <v>21</v>
      </c>
      <c r="L40" s="6" t="s">
        <v>252</v>
      </c>
      <c r="M40" s="8" t="s">
        <v>469</v>
      </c>
      <c r="N40" s="8" t="s">
        <v>469</v>
      </c>
      <c r="O40" s="8" t="s">
        <v>469</v>
      </c>
      <c r="P40" s="10">
        <v>13.07</v>
      </c>
      <c r="Q40" s="10">
        <v>13.4</v>
      </c>
      <c r="R40" s="10">
        <v>43.8</v>
      </c>
      <c r="S40" s="10">
        <v>7514.37</v>
      </c>
      <c r="T40" s="10">
        <v>8422.49</v>
      </c>
      <c r="U40" s="11">
        <f t="shared" si="0"/>
        <v>7513.3719892952722</v>
      </c>
      <c r="V40" s="10">
        <v>71.39</v>
      </c>
      <c r="W40" s="10">
        <v>56.7</v>
      </c>
      <c r="X40" s="7">
        <v>1</v>
      </c>
    </row>
    <row r="41" spans="1:24" hidden="1" x14ac:dyDescent="0.25">
      <c r="A41">
        <v>2025</v>
      </c>
      <c r="B41" s="2" t="s">
        <v>186</v>
      </c>
      <c r="C41" s="6" t="s">
        <v>187</v>
      </c>
      <c r="D41" s="6" t="s">
        <v>188</v>
      </c>
      <c r="E41" s="6" t="s">
        <v>22</v>
      </c>
      <c r="F41" s="7" t="s">
        <v>228</v>
      </c>
      <c r="G41" s="7">
        <v>605</v>
      </c>
      <c r="H41" s="6">
        <v>5</v>
      </c>
      <c r="I41" s="6">
        <v>6</v>
      </c>
      <c r="J41" s="6">
        <v>2</v>
      </c>
      <c r="K41" s="6">
        <v>20</v>
      </c>
      <c r="L41" s="6" t="s">
        <v>252</v>
      </c>
      <c r="M41" s="8" t="s">
        <v>254</v>
      </c>
      <c r="N41" s="9" t="s">
        <v>61</v>
      </c>
      <c r="O41" s="9" t="s">
        <v>258</v>
      </c>
      <c r="P41" s="10">
        <v>13.38</v>
      </c>
      <c r="Q41" s="10">
        <v>11.6</v>
      </c>
      <c r="R41" s="10">
        <v>43.2</v>
      </c>
      <c r="S41" s="10">
        <v>7852.5</v>
      </c>
      <c r="T41" s="10">
        <v>8801.4699999999993</v>
      </c>
      <c r="U41" s="11">
        <f t="shared" si="0"/>
        <v>7851.4451382694015</v>
      </c>
      <c r="V41" s="10">
        <v>71.36</v>
      </c>
      <c r="W41" s="10">
        <v>56.51</v>
      </c>
      <c r="X41" s="7">
        <v>0</v>
      </c>
    </row>
    <row r="42" spans="1:24" hidden="1" x14ac:dyDescent="0.25">
      <c r="A42" s="3">
        <v>2025</v>
      </c>
      <c r="B42" s="2" t="s">
        <v>186</v>
      </c>
      <c r="C42" s="6" t="s">
        <v>187</v>
      </c>
      <c r="D42" s="6" t="s">
        <v>188</v>
      </c>
      <c r="E42" s="6" t="s">
        <v>22</v>
      </c>
      <c r="F42" s="7" t="s">
        <v>229</v>
      </c>
      <c r="G42" s="7">
        <v>606</v>
      </c>
      <c r="H42" s="6">
        <v>6</v>
      </c>
      <c r="I42" s="6">
        <v>6</v>
      </c>
      <c r="J42" s="6">
        <v>2</v>
      </c>
      <c r="K42" s="6">
        <v>12</v>
      </c>
      <c r="L42" s="6" t="s">
        <v>252</v>
      </c>
      <c r="M42" s="8" t="s">
        <v>253</v>
      </c>
      <c r="N42" s="9" t="s">
        <v>62</v>
      </c>
      <c r="O42" s="9" t="s">
        <v>257</v>
      </c>
      <c r="P42" s="10">
        <v>12.79</v>
      </c>
      <c r="Q42" s="10">
        <v>12.1</v>
      </c>
      <c r="R42" s="10">
        <v>43.4</v>
      </c>
      <c r="S42" s="10">
        <v>7463.78</v>
      </c>
      <c r="T42" s="10">
        <v>8365.7800000000007</v>
      </c>
      <c r="U42" s="11">
        <f t="shared" si="0"/>
        <v>7462.7832292595904</v>
      </c>
      <c r="V42" s="10">
        <v>70.8</v>
      </c>
      <c r="W42" s="10">
        <v>52.71</v>
      </c>
      <c r="X42" s="7">
        <v>0</v>
      </c>
    </row>
    <row r="43" spans="1:24" hidden="1" x14ac:dyDescent="0.25">
      <c r="A43">
        <v>2025</v>
      </c>
      <c r="B43" s="2" t="s">
        <v>186</v>
      </c>
      <c r="C43" s="6" t="s">
        <v>187</v>
      </c>
      <c r="D43" s="6" t="s">
        <v>188</v>
      </c>
      <c r="E43" s="6" t="s">
        <v>22</v>
      </c>
      <c r="F43" s="7" t="s">
        <v>230</v>
      </c>
      <c r="G43" s="7">
        <v>607</v>
      </c>
      <c r="H43" s="6">
        <v>7</v>
      </c>
      <c r="I43" s="6">
        <v>6</v>
      </c>
      <c r="J43" s="6">
        <v>2</v>
      </c>
      <c r="K43" s="6">
        <v>2</v>
      </c>
      <c r="L43" s="6" t="s">
        <v>252</v>
      </c>
      <c r="M43" s="8" t="s">
        <v>469</v>
      </c>
      <c r="N43" s="8" t="s">
        <v>469</v>
      </c>
      <c r="O43" s="8" t="s">
        <v>469</v>
      </c>
      <c r="P43" s="10">
        <v>12.65</v>
      </c>
      <c r="Q43" s="10">
        <v>11.8</v>
      </c>
      <c r="R43" s="10">
        <v>43.2</v>
      </c>
      <c r="S43" s="10">
        <v>7407.27</v>
      </c>
      <c r="T43" s="10">
        <v>8302.44</v>
      </c>
      <c r="U43" s="11">
        <f t="shared" si="0"/>
        <v>7406.2801070472797</v>
      </c>
      <c r="V43" s="10">
        <v>71.47</v>
      </c>
      <c r="W43" s="10">
        <v>54.79</v>
      </c>
      <c r="X43" s="7">
        <v>1</v>
      </c>
    </row>
    <row r="44" spans="1:24" hidden="1" x14ac:dyDescent="0.25">
      <c r="A44" s="3">
        <v>2025</v>
      </c>
      <c r="B44" s="2" t="s">
        <v>186</v>
      </c>
      <c r="C44" s="6" t="s">
        <v>187</v>
      </c>
      <c r="D44" s="6" t="s">
        <v>188</v>
      </c>
      <c r="E44" s="6" t="s">
        <v>22</v>
      </c>
      <c r="F44" s="7" t="s">
        <v>231</v>
      </c>
      <c r="G44" s="7">
        <v>701</v>
      </c>
      <c r="H44" s="6">
        <v>1</v>
      </c>
      <c r="I44" s="6">
        <v>7</v>
      </c>
      <c r="J44" s="6">
        <v>3</v>
      </c>
      <c r="K44" s="6">
        <v>5</v>
      </c>
      <c r="L44" s="6" t="s">
        <v>252</v>
      </c>
      <c r="M44" s="8" t="s">
        <v>31</v>
      </c>
      <c r="N44" s="9" t="s">
        <v>60</v>
      </c>
      <c r="O44" s="9" t="s">
        <v>259</v>
      </c>
      <c r="P44" s="10">
        <v>13.91</v>
      </c>
      <c r="Q44" s="10">
        <v>12.6</v>
      </c>
      <c r="R44" s="10">
        <v>44.2</v>
      </c>
      <c r="S44" s="10">
        <v>8071.2</v>
      </c>
      <c r="T44" s="10">
        <v>9046.6</v>
      </c>
      <c r="U44" s="11">
        <f t="shared" si="0"/>
        <v>8070.1159678858166</v>
      </c>
      <c r="V44" s="10">
        <v>72.069999999999993</v>
      </c>
      <c r="W44" s="10">
        <v>57.64</v>
      </c>
      <c r="X44" s="7">
        <v>0</v>
      </c>
    </row>
    <row r="45" spans="1:24" hidden="1" x14ac:dyDescent="0.25">
      <c r="A45">
        <v>2025</v>
      </c>
      <c r="B45" s="2" t="s">
        <v>186</v>
      </c>
      <c r="C45" s="6" t="s">
        <v>187</v>
      </c>
      <c r="D45" s="6" t="s">
        <v>188</v>
      </c>
      <c r="E45" s="6" t="s">
        <v>22</v>
      </c>
      <c r="F45" s="7" t="s">
        <v>232</v>
      </c>
      <c r="G45" s="7">
        <v>702</v>
      </c>
      <c r="H45" s="6">
        <v>2</v>
      </c>
      <c r="I45" s="6">
        <v>7</v>
      </c>
      <c r="J45" s="6">
        <v>3</v>
      </c>
      <c r="K45" s="6">
        <v>1</v>
      </c>
      <c r="L45" s="6" t="s">
        <v>252</v>
      </c>
      <c r="M45" s="8" t="s">
        <v>469</v>
      </c>
      <c r="N45" s="8" t="s">
        <v>469</v>
      </c>
      <c r="O45" s="8" t="s">
        <v>469</v>
      </c>
      <c r="P45" s="10">
        <v>13.68</v>
      </c>
      <c r="Q45" s="10">
        <v>12.6</v>
      </c>
      <c r="R45" s="10">
        <v>43.5</v>
      </c>
      <c r="S45" s="10">
        <v>7937.74</v>
      </c>
      <c r="T45" s="10">
        <v>8897.02</v>
      </c>
      <c r="U45" s="11">
        <f t="shared" si="0"/>
        <v>7936.6815343443359</v>
      </c>
      <c r="V45" s="10">
        <v>71.47</v>
      </c>
      <c r="W45" s="10">
        <v>56.2</v>
      </c>
      <c r="X45" s="7">
        <v>1</v>
      </c>
    </row>
    <row r="46" spans="1:24" hidden="1" x14ac:dyDescent="0.25">
      <c r="A46" s="3">
        <v>2025</v>
      </c>
      <c r="B46" s="2" t="s">
        <v>186</v>
      </c>
      <c r="C46" s="6" t="s">
        <v>187</v>
      </c>
      <c r="D46" s="6" t="s">
        <v>188</v>
      </c>
      <c r="E46" s="6" t="s">
        <v>22</v>
      </c>
      <c r="F46" s="7" t="s">
        <v>233</v>
      </c>
      <c r="G46" s="7">
        <v>703</v>
      </c>
      <c r="H46" s="6">
        <v>3</v>
      </c>
      <c r="I46" s="6">
        <v>7</v>
      </c>
      <c r="J46" s="6">
        <v>3</v>
      </c>
      <c r="K46" s="6">
        <v>9</v>
      </c>
      <c r="L46" s="6" t="s">
        <v>252</v>
      </c>
      <c r="M46" s="8" t="s">
        <v>253</v>
      </c>
      <c r="N46" s="9" t="s">
        <v>57</v>
      </c>
      <c r="O46" s="9" t="s">
        <v>257</v>
      </c>
      <c r="P46" s="10">
        <v>12.57</v>
      </c>
      <c r="Q46" s="10">
        <v>12.6</v>
      </c>
      <c r="R46" s="10">
        <v>44.4</v>
      </c>
      <c r="S46" s="10">
        <v>7293.67</v>
      </c>
      <c r="T46" s="10">
        <v>8175.11</v>
      </c>
      <c r="U46" s="11">
        <f t="shared" si="0"/>
        <v>7292.6940231935769</v>
      </c>
      <c r="V46" s="10">
        <v>71.69</v>
      </c>
      <c r="W46" s="10">
        <v>57.52</v>
      </c>
      <c r="X46" s="7">
        <v>0</v>
      </c>
    </row>
    <row r="47" spans="1:24" hidden="1" x14ac:dyDescent="0.25">
      <c r="A47">
        <v>2025</v>
      </c>
      <c r="B47" s="2" t="s">
        <v>186</v>
      </c>
      <c r="C47" s="6" t="s">
        <v>187</v>
      </c>
      <c r="D47" s="6" t="s">
        <v>188</v>
      </c>
      <c r="E47" s="6" t="s">
        <v>22</v>
      </c>
      <c r="F47" s="7" t="s">
        <v>234</v>
      </c>
      <c r="G47" s="7">
        <v>704</v>
      </c>
      <c r="H47" s="6">
        <v>4</v>
      </c>
      <c r="I47" s="6">
        <v>7</v>
      </c>
      <c r="J47" s="6">
        <v>3</v>
      </c>
      <c r="K47" s="6">
        <v>3</v>
      </c>
      <c r="L47" s="6" t="s">
        <v>252</v>
      </c>
      <c r="M47" s="8" t="s">
        <v>31</v>
      </c>
      <c r="N47" s="9" t="s">
        <v>57</v>
      </c>
      <c r="O47" s="9" t="s">
        <v>259</v>
      </c>
      <c r="P47" s="10">
        <v>13.46</v>
      </c>
      <c r="Q47" s="10">
        <v>13.7</v>
      </c>
      <c r="R47" s="10">
        <v>43.7</v>
      </c>
      <c r="S47" s="10">
        <v>7711.79</v>
      </c>
      <c r="T47" s="10">
        <v>8643.76</v>
      </c>
      <c r="U47" s="11">
        <f t="shared" si="0"/>
        <v>7710.7582515611066</v>
      </c>
      <c r="V47" s="10">
        <v>71.39</v>
      </c>
      <c r="W47" s="10">
        <v>57.78</v>
      </c>
      <c r="X47" s="7">
        <v>0</v>
      </c>
    </row>
    <row r="48" spans="1:24" hidden="1" x14ac:dyDescent="0.25">
      <c r="A48" s="3">
        <v>2025</v>
      </c>
      <c r="B48" s="2" t="s">
        <v>186</v>
      </c>
      <c r="C48" s="6" t="s">
        <v>187</v>
      </c>
      <c r="D48" s="6" t="s">
        <v>188</v>
      </c>
      <c r="E48" s="6" t="s">
        <v>22</v>
      </c>
      <c r="F48" s="7" t="s">
        <v>235</v>
      </c>
      <c r="G48" s="7">
        <v>705</v>
      </c>
      <c r="H48" s="6">
        <v>5</v>
      </c>
      <c r="I48" s="6">
        <v>7</v>
      </c>
      <c r="J48" s="6">
        <v>3</v>
      </c>
      <c r="K48" s="6">
        <v>8</v>
      </c>
      <c r="L48" s="6" t="s">
        <v>252</v>
      </c>
      <c r="M48" s="8" t="s">
        <v>31</v>
      </c>
      <c r="N48" s="9" t="s">
        <v>61</v>
      </c>
      <c r="O48" s="9" t="s">
        <v>259</v>
      </c>
      <c r="P48" s="10">
        <v>13.69</v>
      </c>
      <c r="Q48" s="10">
        <v>12.5</v>
      </c>
      <c r="R48" s="10">
        <v>42.7</v>
      </c>
      <c r="S48" s="10">
        <v>7952.63</v>
      </c>
      <c r="T48" s="10">
        <v>8913.7099999999991</v>
      </c>
      <c r="U48" s="11">
        <f t="shared" si="0"/>
        <v>7951.5700267618195</v>
      </c>
      <c r="V48" s="10">
        <v>72.05</v>
      </c>
      <c r="W48" s="10">
        <v>59.34</v>
      </c>
      <c r="X48" s="7">
        <v>0</v>
      </c>
    </row>
    <row r="49" spans="1:24" hidden="1" x14ac:dyDescent="0.25">
      <c r="A49">
        <v>2025</v>
      </c>
      <c r="B49" s="2" t="s">
        <v>186</v>
      </c>
      <c r="C49" s="6" t="s">
        <v>187</v>
      </c>
      <c r="D49" s="6" t="s">
        <v>188</v>
      </c>
      <c r="E49" s="6" t="s">
        <v>22</v>
      </c>
      <c r="F49" s="7" t="s">
        <v>236</v>
      </c>
      <c r="G49" s="7">
        <v>706</v>
      </c>
      <c r="H49" s="6">
        <v>6</v>
      </c>
      <c r="I49" s="6">
        <v>7</v>
      </c>
      <c r="J49" s="6">
        <v>3</v>
      </c>
      <c r="K49" s="6">
        <v>4</v>
      </c>
      <c r="L49" s="6" t="s">
        <v>252</v>
      </c>
      <c r="M49" s="8" t="s">
        <v>31</v>
      </c>
      <c r="N49" s="9" t="s">
        <v>58</v>
      </c>
      <c r="O49" s="9" t="s">
        <v>259</v>
      </c>
      <c r="P49" s="10">
        <v>13.53</v>
      </c>
      <c r="Q49" s="10">
        <v>11.7</v>
      </c>
      <c r="R49" s="10">
        <v>43.8</v>
      </c>
      <c r="S49" s="10">
        <v>7931.55</v>
      </c>
      <c r="T49" s="10">
        <v>8890.07</v>
      </c>
      <c r="U49" s="11">
        <f t="shared" si="0"/>
        <v>7930.4817127564675</v>
      </c>
      <c r="V49" s="10">
        <v>71.02</v>
      </c>
      <c r="W49" s="10">
        <v>55.89</v>
      </c>
      <c r="X49" s="7">
        <v>0</v>
      </c>
    </row>
    <row r="50" spans="1:24" hidden="1" x14ac:dyDescent="0.25">
      <c r="A50" s="3">
        <v>2025</v>
      </c>
      <c r="B50" s="2" t="s">
        <v>186</v>
      </c>
      <c r="C50" s="6" t="s">
        <v>187</v>
      </c>
      <c r="D50" s="6" t="s">
        <v>188</v>
      </c>
      <c r="E50" s="6" t="s">
        <v>22</v>
      </c>
      <c r="F50" s="7" t="s">
        <v>237</v>
      </c>
      <c r="G50" s="7">
        <v>707</v>
      </c>
      <c r="H50" s="6">
        <v>7</v>
      </c>
      <c r="I50" s="6">
        <v>7</v>
      </c>
      <c r="J50" s="6">
        <v>3</v>
      </c>
      <c r="K50" s="6">
        <v>21</v>
      </c>
      <c r="L50" s="6" t="s">
        <v>252</v>
      </c>
      <c r="M50" s="8" t="s">
        <v>469</v>
      </c>
      <c r="N50" s="8" t="s">
        <v>469</v>
      </c>
      <c r="O50" s="8" t="s">
        <v>469</v>
      </c>
      <c r="P50" s="10">
        <v>12.53</v>
      </c>
      <c r="Q50" s="10">
        <v>12.2</v>
      </c>
      <c r="R50" s="10">
        <v>43.7</v>
      </c>
      <c r="S50" s="10">
        <v>7303.73</v>
      </c>
      <c r="T50" s="10">
        <v>8186.39</v>
      </c>
      <c r="U50" s="11">
        <f t="shared" si="0"/>
        <v>7302.7564674397863</v>
      </c>
      <c r="V50" s="10">
        <v>71.709999999999994</v>
      </c>
      <c r="W50" s="10">
        <v>56.5</v>
      </c>
      <c r="X50" s="7">
        <v>0</v>
      </c>
    </row>
    <row r="51" spans="1:24" hidden="1" x14ac:dyDescent="0.25">
      <c r="A51">
        <v>2025</v>
      </c>
      <c r="B51" s="2" t="s">
        <v>186</v>
      </c>
      <c r="C51" s="6" t="s">
        <v>187</v>
      </c>
      <c r="D51" s="6" t="s">
        <v>188</v>
      </c>
      <c r="E51" s="6" t="s">
        <v>22</v>
      </c>
      <c r="F51" s="6" t="s">
        <v>238</v>
      </c>
      <c r="G51" s="6">
        <v>801</v>
      </c>
      <c r="H51" s="6">
        <v>1</v>
      </c>
      <c r="I51" s="6">
        <v>8</v>
      </c>
      <c r="J51" s="6">
        <v>3</v>
      </c>
      <c r="K51" s="6">
        <v>6</v>
      </c>
      <c r="L51" s="6" t="s">
        <v>252</v>
      </c>
      <c r="M51" s="8" t="s">
        <v>31</v>
      </c>
      <c r="N51" s="9" t="s">
        <v>62</v>
      </c>
      <c r="O51" s="9" t="s">
        <v>259</v>
      </c>
      <c r="P51" s="10">
        <v>13.44</v>
      </c>
      <c r="Q51" s="10">
        <v>12.4</v>
      </c>
      <c r="R51" s="10">
        <v>44</v>
      </c>
      <c r="S51" s="10">
        <v>7816.33</v>
      </c>
      <c r="T51" s="10">
        <v>8760.93</v>
      </c>
      <c r="U51" s="11">
        <f t="shared" si="0"/>
        <v>7815.2809991079394</v>
      </c>
      <c r="V51" s="10">
        <v>71.45</v>
      </c>
      <c r="W51" s="10">
        <v>55.26</v>
      </c>
      <c r="X51" s="7">
        <v>0</v>
      </c>
    </row>
    <row r="52" spans="1:24" hidden="1" x14ac:dyDescent="0.25">
      <c r="A52" s="3">
        <v>2025</v>
      </c>
      <c r="B52" s="2" t="s">
        <v>186</v>
      </c>
      <c r="C52" s="6" t="s">
        <v>187</v>
      </c>
      <c r="D52" s="6" t="s">
        <v>188</v>
      </c>
      <c r="E52" s="6" t="s">
        <v>22</v>
      </c>
      <c r="F52" s="6" t="s">
        <v>239</v>
      </c>
      <c r="G52" s="6">
        <v>802</v>
      </c>
      <c r="H52" s="6">
        <v>2</v>
      </c>
      <c r="I52" s="6">
        <v>8</v>
      </c>
      <c r="J52" s="6">
        <v>3</v>
      </c>
      <c r="K52" s="6">
        <v>11</v>
      </c>
      <c r="L52" s="6" t="s">
        <v>252</v>
      </c>
      <c r="M52" s="8" t="s">
        <v>253</v>
      </c>
      <c r="N52" s="9" t="s">
        <v>60</v>
      </c>
      <c r="O52" s="9" t="s">
        <v>257</v>
      </c>
      <c r="P52" s="10">
        <v>12.45</v>
      </c>
      <c r="Q52" s="10">
        <v>12.7</v>
      </c>
      <c r="R52" s="10">
        <v>43.9</v>
      </c>
      <c r="S52" s="10">
        <v>7215.77</v>
      </c>
      <c r="T52" s="10">
        <v>8087.8</v>
      </c>
      <c r="U52" s="11">
        <f t="shared" si="0"/>
        <v>7214.8082069580732</v>
      </c>
      <c r="V52" s="10">
        <v>70.930000000000007</v>
      </c>
      <c r="W52" s="10">
        <v>53.61</v>
      </c>
      <c r="X52" s="7">
        <v>1</v>
      </c>
    </row>
    <row r="53" spans="1:24" hidden="1" x14ac:dyDescent="0.25">
      <c r="A53">
        <v>2025</v>
      </c>
      <c r="B53" s="2" t="s">
        <v>186</v>
      </c>
      <c r="C53" s="6" t="s">
        <v>187</v>
      </c>
      <c r="D53" s="6" t="s">
        <v>188</v>
      </c>
      <c r="E53" s="6" t="s">
        <v>22</v>
      </c>
      <c r="F53" s="6" t="s">
        <v>240</v>
      </c>
      <c r="G53" s="6">
        <v>803</v>
      </c>
      <c r="H53" s="6">
        <v>3</v>
      </c>
      <c r="I53" s="6">
        <v>8</v>
      </c>
      <c r="J53" s="6">
        <v>3</v>
      </c>
      <c r="K53" s="6">
        <v>14</v>
      </c>
      <c r="L53" s="6" t="s">
        <v>252</v>
      </c>
      <c r="M53" s="8" t="s">
        <v>253</v>
      </c>
      <c r="N53" s="9" t="s">
        <v>61</v>
      </c>
      <c r="O53" s="9" t="s">
        <v>257</v>
      </c>
      <c r="P53" s="10">
        <v>13.4</v>
      </c>
      <c r="Q53" s="10">
        <v>13</v>
      </c>
      <c r="R53" s="10">
        <v>43.8</v>
      </c>
      <c r="S53" s="10">
        <v>7739.69</v>
      </c>
      <c r="T53" s="10">
        <v>8675.0300000000007</v>
      </c>
      <c r="U53" s="11">
        <f t="shared" si="0"/>
        <v>7738.6529884032125</v>
      </c>
      <c r="V53" s="10">
        <v>71.53</v>
      </c>
      <c r="W53" s="10">
        <v>58.49</v>
      </c>
      <c r="X53" s="7">
        <v>0</v>
      </c>
    </row>
    <row r="54" spans="1:24" hidden="1" x14ac:dyDescent="0.25">
      <c r="A54" s="3">
        <v>2025</v>
      </c>
      <c r="B54" s="2" t="s">
        <v>186</v>
      </c>
      <c r="C54" s="6" t="s">
        <v>187</v>
      </c>
      <c r="D54" s="6" t="s">
        <v>188</v>
      </c>
      <c r="E54" s="6" t="s">
        <v>22</v>
      </c>
      <c r="F54" s="6" t="s">
        <v>241</v>
      </c>
      <c r="G54" s="6">
        <v>804</v>
      </c>
      <c r="H54" s="6">
        <v>4</v>
      </c>
      <c r="I54" s="6">
        <v>8</v>
      </c>
      <c r="J54" s="6">
        <v>3</v>
      </c>
      <c r="K54" s="6">
        <v>13</v>
      </c>
      <c r="L54" s="6" t="s">
        <v>252</v>
      </c>
      <c r="M54" s="8" t="s">
        <v>253</v>
      </c>
      <c r="N54" s="9" t="s">
        <v>59</v>
      </c>
      <c r="O54" s="9" t="s">
        <v>257</v>
      </c>
      <c r="P54" s="10">
        <v>13.3</v>
      </c>
      <c r="Q54" s="10">
        <v>13.4</v>
      </c>
      <c r="R54" s="10">
        <v>43.7</v>
      </c>
      <c r="S54" s="10">
        <v>7646.61</v>
      </c>
      <c r="T54" s="10">
        <v>8570.7000000000007</v>
      </c>
      <c r="U54" s="11">
        <f t="shared" si="0"/>
        <v>7645.5842997323825</v>
      </c>
      <c r="V54" s="10">
        <v>71.239999999999995</v>
      </c>
      <c r="W54" s="10">
        <v>58.32</v>
      </c>
      <c r="X54" s="7">
        <v>0</v>
      </c>
    </row>
    <row r="55" spans="1:24" hidden="1" x14ac:dyDescent="0.25">
      <c r="A55">
        <v>2025</v>
      </c>
      <c r="B55" s="2" t="s">
        <v>186</v>
      </c>
      <c r="C55" s="6" t="s">
        <v>187</v>
      </c>
      <c r="D55" s="6" t="s">
        <v>188</v>
      </c>
      <c r="E55" s="6" t="s">
        <v>22</v>
      </c>
      <c r="F55" s="6" t="s">
        <v>242</v>
      </c>
      <c r="G55" s="6">
        <v>805</v>
      </c>
      <c r="H55" s="6">
        <v>5</v>
      </c>
      <c r="I55" s="6">
        <v>8</v>
      </c>
      <c r="J55" s="6">
        <v>3</v>
      </c>
      <c r="K55" s="6">
        <v>17</v>
      </c>
      <c r="L55" s="6" t="s">
        <v>252</v>
      </c>
      <c r="M55" s="8" t="s">
        <v>254</v>
      </c>
      <c r="N55" s="9" t="s">
        <v>60</v>
      </c>
      <c r="O55" s="9" t="s">
        <v>258</v>
      </c>
      <c r="P55" s="10">
        <v>13.86</v>
      </c>
      <c r="Q55" s="10">
        <v>12.5</v>
      </c>
      <c r="R55" s="10">
        <v>43.8</v>
      </c>
      <c r="S55" s="10">
        <v>8051.38</v>
      </c>
      <c r="T55" s="10">
        <v>9024.39</v>
      </c>
      <c r="U55" s="11">
        <f t="shared" si="0"/>
        <v>8050.3033006244423</v>
      </c>
      <c r="V55" s="10">
        <v>71.95</v>
      </c>
      <c r="W55" s="10">
        <v>59.07</v>
      </c>
      <c r="X55" s="7">
        <v>0</v>
      </c>
    </row>
    <row r="56" spans="1:24" hidden="1" x14ac:dyDescent="0.25">
      <c r="A56" s="3">
        <v>2025</v>
      </c>
      <c r="B56" s="2" t="s">
        <v>186</v>
      </c>
      <c r="C56" s="6" t="s">
        <v>187</v>
      </c>
      <c r="D56" s="6" t="s">
        <v>188</v>
      </c>
      <c r="E56" s="6" t="s">
        <v>22</v>
      </c>
      <c r="F56" s="6" t="s">
        <v>243</v>
      </c>
      <c r="G56" s="6">
        <v>806</v>
      </c>
      <c r="H56" s="6">
        <v>6</v>
      </c>
      <c r="I56" s="6">
        <v>8</v>
      </c>
      <c r="J56" s="6">
        <v>3</v>
      </c>
      <c r="K56" s="6">
        <v>15</v>
      </c>
      <c r="L56" s="6" t="s">
        <v>252</v>
      </c>
      <c r="M56" s="8" t="s">
        <v>254</v>
      </c>
      <c r="N56" s="9" t="s">
        <v>57</v>
      </c>
      <c r="O56" s="9" t="s">
        <v>258</v>
      </c>
      <c r="P56" s="10">
        <v>13.59</v>
      </c>
      <c r="Q56" s="10">
        <v>12.1</v>
      </c>
      <c r="R56" s="10">
        <v>43.7</v>
      </c>
      <c r="S56" s="10">
        <v>7930.63</v>
      </c>
      <c r="T56" s="10">
        <v>8889.0499999999993</v>
      </c>
      <c r="U56" s="11">
        <f t="shared" si="0"/>
        <v>7929.5718108831397</v>
      </c>
      <c r="V56" s="10">
        <v>71.19</v>
      </c>
      <c r="W56" s="10">
        <v>56.65</v>
      </c>
      <c r="X56" s="7">
        <v>0</v>
      </c>
    </row>
    <row r="57" spans="1:24" hidden="1" x14ac:dyDescent="0.25">
      <c r="A57">
        <v>2025</v>
      </c>
      <c r="B57" s="2" t="s">
        <v>186</v>
      </c>
      <c r="C57" s="6" t="s">
        <v>187</v>
      </c>
      <c r="D57" s="6" t="s">
        <v>188</v>
      </c>
      <c r="E57" s="6" t="s">
        <v>22</v>
      </c>
      <c r="F57" s="6" t="s">
        <v>244</v>
      </c>
      <c r="G57" s="6">
        <v>807</v>
      </c>
      <c r="H57" s="6">
        <v>7</v>
      </c>
      <c r="I57" s="6">
        <v>8</v>
      </c>
      <c r="J57" s="6">
        <v>3</v>
      </c>
      <c r="K57" s="6">
        <v>10</v>
      </c>
      <c r="L57" s="6" t="s">
        <v>252</v>
      </c>
      <c r="M57" s="8" t="s">
        <v>253</v>
      </c>
      <c r="N57" s="9" t="s">
        <v>58</v>
      </c>
      <c r="O57" s="9" t="s">
        <v>257</v>
      </c>
      <c r="P57" s="10">
        <v>12.74</v>
      </c>
      <c r="Q57" s="10">
        <v>12</v>
      </c>
      <c r="R57" s="10">
        <v>43.5</v>
      </c>
      <c r="S57" s="10">
        <v>7443.06</v>
      </c>
      <c r="T57" s="10">
        <v>8342.5499999999993</v>
      </c>
      <c r="U57" s="11">
        <f t="shared" si="0"/>
        <v>7442.0606601248883</v>
      </c>
      <c r="V57" s="10">
        <v>71.03</v>
      </c>
      <c r="W57" s="10">
        <v>55.6</v>
      </c>
      <c r="X57" s="7">
        <v>0</v>
      </c>
    </row>
    <row r="58" spans="1:24" hidden="1" x14ac:dyDescent="0.25">
      <c r="A58" s="3">
        <v>2025</v>
      </c>
      <c r="B58" s="2" t="s">
        <v>186</v>
      </c>
      <c r="C58" s="6" t="s">
        <v>187</v>
      </c>
      <c r="D58" s="6" t="s">
        <v>188</v>
      </c>
      <c r="E58" s="6" t="s">
        <v>22</v>
      </c>
      <c r="F58" s="6" t="s">
        <v>245</v>
      </c>
      <c r="G58" s="6">
        <v>901</v>
      </c>
      <c r="H58" s="6">
        <v>1</v>
      </c>
      <c r="I58" s="6">
        <v>9</v>
      </c>
      <c r="J58" s="6">
        <v>3</v>
      </c>
      <c r="K58" s="6">
        <v>7</v>
      </c>
      <c r="L58" s="6" t="s">
        <v>252</v>
      </c>
      <c r="M58" s="8" t="s">
        <v>31</v>
      </c>
      <c r="N58" s="9" t="s">
        <v>59</v>
      </c>
      <c r="O58" s="9" t="s">
        <v>259</v>
      </c>
      <c r="P58" s="10">
        <v>12.33</v>
      </c>
      <c r="Q58" s="10">
        <v>13.2</v>
      </c>
      <c r="R58" s="10">
        <v>44.6</v>
      </c>
      <c r="S58" s="10">
        <v>7105.29</v>
      </c>
      <c r="T58" s="10">
        <v>7963.97</v>
      </c>
      <c r="U58" s="11">
        <f t="shared" si="0"/>
        <v>7104.3443354148085</v>
      </c>
      <c r="V58" s="10">
        <v>71.849999999999994</v>
      </c>
      <c r="W58" s="10">
        <v>57.75</v>
      </c>
      <c r="X58" s="7">
        <v>0</v>
      </c>
    </row>
    <row r="59" spans="1:24" hidden="1" x14ac:dyDescent="0.25">
      <c r="A59">
        <v>2025</v>
      </c>
      <c r="B59" s="2" t="s">
        <v>186</v>
      </c>
      <c r="C59" s="6" t="s">
        <v>187</v>
      </c>
      <c r="D59" s="6" t="s">
        <v>188</v>
      </c>
      <c r="E59" s="6" t="s">
        <v>22</v>
      </c>
      <c r="F59" s="6" t="s">
        <v>246</v>
      </c>
      <c r="G59" s="6">
        <v>902</v>
      </c>
      <c r="H59" s="6">
        <v>2</v>
      </c>
      <c r="I59" s="6">
        <v>9</v>
      </c>
      <c r="J59" s="6">
        <v>3</v>
      </c>
      <c r="K59" s="6">
        <v>2</v>
      </c>
      <c r="L59" s="6" t="s">
        <v>252</v>
      </c>
      <c r="M59" s="8" t="s">
        <v>469</v>
      </c>
      <c r="N59" s="8" t="s">
        <v>469</v>
      </c>
      <c r="O59" s="8" t="s">
        <v>469</v>
      </c>
      <c r="P59" s="10">
        <v>13.12</v>
      </c>
      <c r="Q59" s="10">
        <v>12.5</v>
      </c>
      <c r="R59" s="10">
        <v>43.1</v>
      </c>
      <c r="S59" s="10">
        <v>7621.51</v>
      </c>
      <c r="T59" s="10">
        <v>8542.57</v>
      </c>
      <c r="U59" s="11">
        <f t="shared" si="0"/>
        <v>7620.4906333630688</v>
      </c>
      <c r="V59" s="10">
        <v>71.08</v>
      </c>
      <c r="W59" s="10">
        <v>56.53</v>
      </c>
      <c r="X59" s="7">
        <v>1</v>
      </c>
    </row>
    <row r="60" spans="1:24" hidden="1" x14ac:dyDescent="0.25">
      <c r="A60" s="3">
        <v>2025</v>
      </c>
      <c r="B60" s="2" t="s">
        <v>186</v>
      </c>
      <c r="C60" s="6" t="s">
        <v>187</v>
      </c>
      <c r="D60" s="6" t="s">
        <v>188</v>
      </c>
      <c r="E60" s="6" t="s">
        <v>22</v>
      </c>
      <c r="F60" s="6" t="s">
        <v>247</v>
      </c>
      <c r="G60" s="6">
        <v>903</v>
      </c>
      <c r="H60" s="6">
        <v>3</v>
      </c>
      <c r="I60" s="6">
        <v>9</v>
      </c>
      <c r="J60" s="6">
        <v>3</v>
      </c>
      <c r="K60" s="6">
        <v>19</v>
      </c>
      <c r="L60" s="6" t="s">
        <v>252</v>
      </c>
      <c r="M60" s="8" t="s">
        <v>254</v>
      </c>
      <c r="N60" s="9" t="s">
        <v>59</v>
      </c>
      <c r="O60" s="9" t="s">
        <v>258</v>
      </c>
      <c r="P60" s="10">
        <v>13.21</v>
      </c>
      <c r="Q60" s="10">
        <v>12.7</v>
      </c>
      <c r="R60" s="10">
        <v>44.4</v>
      </c>
      <c r="S60" s="10">
        <v>7656.25</v>
      </c>
      <c r="T60" s="10">
        <v>8581.51</v>
      </c>
      <c r="U60" s="11">
        <f t="shared" si="0"/>
        <v>7655.2274754683322</v>
      </c>
      <c r="V60" s="10">
        <v>71.31</v>
      </c>
      <c r="W60" s="10">
        <v>58.07</v>
      </c>
      <c r="X60" s="7">
        <v>1</v>
      </c>
    </row>
    <row r="61" spans="1:24" hidden="1" x14ac:dyDescent="0.25">
      <c r="A61">
        <v>2025</v>
      </c>
      <c r="B61" s="2" t="s">
        <v>186</v>
      </c>
      <c r="C61" s="6" t="s">
        <v>187</v>
      </c>
      <c r="D61" s="6" t="s">
        <v>188</v>
      </c>
      <c r="E61" s="6" t="s">
        <v>22</v>
      </c>
      <c r="F61" s="6" t="s">
        <v>248</v>
      </c>
      <c r="G61" s="6">
        <v>904</v>
      </c>
      <c r="H61" s="6">
        <v>4</v>
      </c>
      <c r="I61" s="6">
        <v>9</v>
      </c>
      <c r="J61" s="6">
        <v>3</v>
      </c>
      <c r="K61" s="6">
        <v>16</v>
      </c>
      <c r="L61" s="6" t="s">
        <v>252</v>
      </c>
      <c r="M61" s="8" t="s">
        <v>254</v>
      </c>
      <c r="N61" s="9" t="s">
        <v>58</v>
      </c>
      <c r="O61" s="9" t="s">
        <v>258</v>
      </c>
      <c r="P61" s="10">
        <v>13.21</v>
      </c>
      <c r="Q61" s="10">
        <v>12.4</v>
      </c>
      <c r="R61" s="10">
        <v>43.4</v>
      </c>
      <c r="S61" s="10">
        <v>7682.56</v>
      </c>
      <c r="T61" s="10">
        <v>8611</v>
      </c>
      <c r="U61" s="11">
        <f t="shared" si="0"/>
        <v>7681.534344335415</v>
      </c>
      <c r="V61" s="10">
        <v>71.17</v>
      </c>
      <c r="W61" s="10">
        <v>57.53</v>
      </c>
      <c r="X61" s="7">
        <v>1</v>
      </c>
    </row>
    <row r="62" spans="1:24" hidden="1" x14ac:dyDescent="0.25">
      <c r="A62" s="3">
        <v>2025</v>
      </c>
      <c r="B62" s="2" t="s">
        <v>186</v>
      </c>
      <c r="C62" s="6" t="s">
        <v>187</v>
      </c>
      <c r="D62" s="6" t="s">
        <v>188</v>
      </c>
      <c r="E62" s="6" t="s">
        <v>22</v>
      </c>
      <c r="F62" s="6" t="s">
        <v>249</v>
      </c>
      <c r="G62" s="6">
        <v>905</v>
      </c>
      <c r="H62" s="6">
        <v>5</v>
      </c>
      <c r="I62" s="6">
        <v>9</v>
      </c>
      <c r="J62" s="6">
        <v>3</v>
      </c>
      <c r="K62" s="6">
        <v>18</v>
      </c>
      <c r="L62" s="6" t="s">
        <v>252</v>
      </c>
      <c r="M62" s="8" t="s">
        <v>254</v>
      </c>
      <c r="N62" s="9" t="s">
        <v>62</v>
      </c>
      <c r="O62" s="9" t="s">
        <v>258</v>
      </c>
      <c r="P62" s="10">
        <v>12.58</v>
      </c>
      <c r="Q62" s="10">
        <v>12.6</v>
      </c>
      <c r="R62" s="10">
        <v>44</v>
      </c>
      <c r="S62" s="10">
        <v>7299.47</v>
      </c>
      <c r="T62" s="10">
        <v>8181.61</v>
      </c>
      <c r="U62" s="11">
        <f t="shared" si="0"/>
        <v>7298.4924174843891</v>
      </c>
      <c r="V62" s="10">
        <v>71.87</v>
      </c>
      <c r="W62" s="10">
        <v>60.39</v>
      </c>
      <c r="X62" s="7">
        <v>0</v>
      </c>
    </row>
    <row r="63" spans="1:24" hidden="1" x14ac:dyDescent="0.25">
      <c r="A63">
        <v>2025</v>
      </c>
      <c r="B63" s="2" t="s">
        <v>186</v>
      </c>
      <c r="C63" s="6" t="s">
        <v>187</v>
      </c>
      <c r="D63" s="6" t="s">
        <v>188</v>
      </c>
      <c r="E63" s="6" t="s">
        <v>22</v>
      </c>
      <c r="F63" s="6" t="s">
        <v>250</v>
      </c>
      <c r="G63" s="6">
        <v>906</v>
      </c>
      <c r="H63" s="6">
        <v>6</v>
      </c>
      <c r="I63" s="6">
        <v>9</v>
      </c>
      <c r="J63" s="6">
        <v>3</v>
      </c>
      <c r="K63" s="6">
        <v>20</v>
      </c>
      <c r="L63" s="6" t="s">
        <v>252</v>
      </c>
      <c r="M63" s="8" t="s">
        <v>254</v>
      </c>
      <c r="N63" s="9" t="s">
        <v>61</v>
      </c>
      <c r="O63" s="9" t="s">
        <v>258</v>
      </c>
      <c r="P63" s="10">
        <v>12.36</v>
      </c>
      <c r="Q63" s="10">
        <v>12.2</v>
      </c>
      <c r="R63" s="10">
        <v>42.9</v>
      </c>
      <c r="S63" s="10">
        <v>7204.64</v>
      </c>
      <c r="T63" s="10">
        <v>8075.32</v>
      </c>
      <c r="U63" s="11">
        <f t="shared" si="0"/>
        <v>7203.6752899197145</v>
      </c>
      <c r="V63" s="10">
        <v>70.77</v>
      </c>
      <c r="W63" s="10">
        <v>57.08</v>
      </c>
      <c r="X63" s="7">
        <v>0</v>
      </c>
    </row>
    <row r="64" spans="1:24" hidden="1" x14ac:dyDescent="0.25">
      <c r="A64" s="3">
        <v>2025</v>
      </c>
      <c r="B64" s="2" t="s">
        <v>186</v>
      </c>
      <c r="C64" s="6" t="s">
        <v>187</v>
      </c>
      <c r="D64" s="6" t="s">
        <v>188</v>
      </c>
      <c r="E64" s="6" t="s">
        <v>22</v>
      </c>
      <c r="F64" s="6" t="s">
        <v>251</v>
      </c>
      <c r="G64" s="6">
        <v>907</v>
      </c>
      <c r="H64" s="6">
        <v>7</v>
      </c>
      <c r="I64" s="6">
        <v>9</v>
      </c>
      <c r="J64" s="6">
        <v>3</v>
      </c>
      <c r="K64" s="6">
        <v>12</v>
      </c>
      <c r="L64" s="6" t="s">
        <v>252</v>
      </c>
      <c r="M64" s="8" t="s">
        <v>253</v>
      </c>
      <c r="N64" s="9" t="s">
        <v>62</v>
      </c>
      <c r="O64" s="9" t="s">
        <v>257</v>
      </c>
      <c r="P64" s="10">
        <v>12.43</v>
      </c>
      <c r="Q64" s="10">
        <v>12.6</v>
      </c>
      <c r="R64" s="10">
        <v>43.7</v>
      </c>
      <c r="S64" s="10">
        <v>7212.43</v>
      </c>
      <c r="T64" s="10">
        <v>8084.06</v>
      </c>
      <c r="U64" s="11">
        <f t="shared" si="0"/>
        <v>7211.4719000892064</v>
      </c>
      <c r="V64" s="10">
        <v>71.900000000000006</v>
      </c>
      <c r="W64" s="10">
        <v>56.4</v>
      </c>
      <c r="X64" s="7">
        <v>0</v>
      </c>
    </row>
    <row r="65" spans="1:24" x14ac:dyDescent="0.25">
      <c r="A65" s="3">
        <v>2025</v>
      </c>
      <c r="B65" s="2" t="s">
        <v>260</v>
      </c>
      <c r="C65" s="6" t="s">
        <v>28</v>
      </c>
      <c r="D65" s="6" t="s">
        <v>29</v>
      </c>
      <c r="E65" s="6" t="s">
        <v>24</v>
      </c>
      <c r="F65" s="6" t="s">
        <v>261</v>
      </c>
      <c r="G65" s="6">
        <v>101</v>
      </c>
      <c r="H65" s="6">
        <v>1</v>
      </c>
      <c r="I65" s="6">
        <v>1</v>
      </c>
      <c r="J65" s="6">
        <v>1</v>
      </c>
      <c r="K65" s="6">
        <v>21</v>
      </c>
      <c r="L65" s="6" t="s">
        <v>23</v>
      </c>
      <c r="M65" s="8" t="s">
        <v>255</v>
      </c>
      <c r="N65" s="9" t="s">
        <v>58</v>
      </c>
      <c r="O65" s="9" t="s">
        <v>255</v>
      </c>
      <c r="P65" s="10">
        <v>5.28</v>
      </c>
      <c r="Q65" s="10">
        <v>13.1</v>
      </c>
      <c r="R65" s="10">
        <v>37</v>
      </c>
      <c r="S65" s="10">
        <v>3046.16</v>
      </c>
      <c r="T65" s="10">
        <v>3414.29</v>
      </c>
      <c r="U65" s="11">
        <f t="shared" si="0"/>
        <v>3045.7537912578055</v>
      </c>
      <c r="V65" s="10">
        <v>63.48</v>
      </c>
      <c r="W65" s="10">
        <v>24.22</v>
      </c>
      <c r="X65" s="7">
        <v>1</v>
      </c>
    </row>
    <row r="66" spans="1:24" x14ac:dyDescent="0.25">
      <c r="A66" s="3">
        <v>2025</v>
      </c>
      <c r="B66" s="2" t="s">
        <v>260</v>
      </c>
      <c r="C66" s="6" t="s">
        <v>28</v>
      </c>
      <c r="D66" s="6" t="s">
        <v>29</v>
      </c>
      <c r="E66" s="6" t="s">
        <v>24</v>
      </c>
      <c r="F66" s="6" t="s">
        <v>262</v>
      </c>
      <c r="G66" s="6">
        <v>102</v>
      </c>
      <c r="H66" s="6">
        <v>2</v>
      </c>
      <c r="I66" s="6">
        <v>1</v>
      </c>
      <c r="J66" s="6">
        <v>1</v>
      </c>
      <c r="K66" s="6">
        <v>13</v>
      </c>
      <c r="L66" s="6" t="s">
        <v>23</v>
      </c>
      <c r="M66" s="8" t="s">
        <v>253</v>
      </c>
      <c r="N66" s="9" t="s">
        <v>59</v>
      </c>
      <c r="O66" s="9" t="s">
        <v>257</v>
      </c>
      <c r="P66" s="10">
        <v>5.04</v>
      </c>
      <c r="Q66" s="10">
        <v>11.8</v>
      </c>
      <c r="R66" s="10">
        <v>34.6</v>
      </c>
      <c r="S66" s="10">
        <v>2951.2</v>
      </c>
      <c r="T66" s="10">
        <v>3307.85</v>
      </c>
      <c r="U66" s="11">
        <f t="shared" si="0"/>
        <v>2950.8028545941124</v>
      </c>
      <c r="V66" s="10">
        <v>65.23</v>
      </c>
      <c r="W66" s="10">
        <v>27.75</v>
      </c>
      <c r="X66" s="7">
        <v>0</v>
      </c>
    </row>
    <row r="67" spans="1:24" x14ac:dyDescent="0.25">
      <c r="A67" s="3">
        <v>2025</v>
      </c>
      <c r="B67" s="2" t="s">
        <v>260</v>
      </c>
      <c r="C67" s="6" t="s">
        <v>28</v>
      </c>
      <c r="D67" s="6" t="s">
        <v>29</v>
      </c>
      <c r="E67" s="6" t="s">
        <v>24</v>
      </c>
      <c r="F67" s="6" t="s">
        <v>263</v>
      </c>
      <c r="G67" s="6">
        <v>103</v>
      </c>
      <c r="H67" s="6">
        <v>3</v>
      </c>
      <c r="I67" s="6">
        <v>1</v>
      </c>
      <c r="J67" s="6">
        <v>2</v>
      </c>
      <c r="K67" s="6">
        <v>20</v>
      </c>
      <c r="L67" s="6" t="s">
        <v>23</v>
      </c>
      <c r="M67" s="8" t="s">
        <v>254</v>
      </c>
      <c r="N67" s="9" t="s">
        <v>61</v>
      </c>
      <c r="O67" s="9" t="s">
        <v>258</v>
      </c>
      <c r="P67" s="10">
        <v>5.84</v>
      </c>
      <c r="Q67" s="10">
        <v>13</v>
      </c>
      <c r="R67" s="10">
        <v>38.1</v>
      </c>
      <c r="S67" s="10">
        <v>3373.12</v>
      </c>
      <c r="T67" s="10">
        <v>3780.76</v>
      </c>
      <c r="U67" s="11">
        <f t="shared" ref="U67:U130" si="1">T67/1.121</f>
        <v>3372.6672613737737</v>
      </c>
      <c r="V67" s="10">
        <v>65.709999999999994</v>
      </c>
      <c r="W67" s="10">
        <v>29.14</v>
      </c>
      <c r="X67" s="7">
        <v>0</v>
      </c>
    </row>
    <row r="68" spans="1:24" x14ac:dyDescent="0.25">
      <c r="A68" s="3">
        <v>2025</v>
      </c>
      <c r="B68" s="2" t="s">
        <v>260</v>
      </c>
      <c r="C68" s="6" t="s">
        <v>28</v>
      </c>
      <c r="D68" s="6" t="s">
        <v>29</v>
      </c>
      <c r="E68" s="6" t="s">
        <v>24</v>
      </c>
      <c r="F68" s="6" t="s">
        <v>264</v>
      </c>
      <c r="G68" s="6">
        <v>104</v>
      </c>
      <c r="H68" s="6">
        <v>4</v>
      </c>
      <c r="I68" s="6">
        <v>1</v>
      </c>
      <c r="J68" s="6">
        <v>3</v>
      </c>
      <c r="K68" s="6">
        <v>13</v>
      </c>
      <c r="L68" s="6" t="s">
        <v>23</v>
      </c>
      <c r="M68" s="8" t="s">
        <v>253</v>
      </c>
      <c r="N68" s="9" t="s">
        <v>59</v>
      </c>
      <c r="O68" s="9" t="s">
        <v>257</v>
      </c>
      <c r="P68" s="10">
        <v>8.09</v>
      </c>
      <c r="Q68" s="10">
        <v>13.2</v>
      </c>
      <c r="R68" s="10">
        <v>40.200000000000003</v>
      </c>
      <c r="S68" s="10">
        <v>4661.95</v>
      </c>
      <c r="T68" s="10">
        <v>5225.3500000000004</v>
      </c>
      <c r="U68" s="11">
        <f t="shared" si="1"/>
        <v>4661.3291703835866</v>
      </c>
      <c r="V68" s="10">
        <v>64.45</v>
      </c>
      <c r="W68" s="10">
        <v>25.17</v>
      </c>
      <c r="X68" s="7">
        <v>0</v>
      </c>
    </row>
    <row r="69" spans="1:24" x14ac:dyDescent="0.25">
      <c r="A69" s="3">
        <v>2025</v>
      </c>
      <c r="B69" s="2" t="s">
        <v>260</v>
      </c>
      <c r="C69" s="6" t="s">
        <v>28</v>
      </c>
      <c r="D69" s="6" t="s">
        <v>29</v>
      </c>
      <c r="E69" s="6" t="s">
        <v>24</v>
      </c>
      <c r="F69" s="6" t="s">
        <v>265</v>
      </c>
      <c r="G69" s="6">
        <v>105</v>
      </c>
      <c r="H69" s="6">
        <v>5</v>
      </c>
      <c r="I69" s="6">
        <v>1</v>
      </c>
      <c r="J69" s="6">
        <v>3</v>
      </c>
      <c r="K69" s="6">
        <v>20</v>
      </c>
      <c r="L69" s="6" t="s">
        <v>23</v>
      </c>
      <c r="M69" s="8" t="s">
        <v>254</v>
      </c>
      <c r="N69" s="9" t="s">
        <v>61</v>
      </c>
      <c r="O69" s="9" t="s">
        <v>258</v>
      </c>
      <c r="P69" s="10">
        <v>6.66</v>
      </c>
      <c r="Q69" s="10">
        <v>13.3</v>
      </c>
      <c r="R69" s="10">
        <v>39.200000000000003</v>
      </c>
      <c r="S69" s="10">
        <v>3833.47</v>
      </c>
      <c r="T69" s="10">
        <v>4296.75</v>
      </c>
      <c r="U69" s="11">
        <f t="shared" si="1"/>
        <v>3832.9616413916146</v>
      </c>
      <c r="V69" s="10">
        <v>65.27</v>
      </c>
      <c r="W69" s="10">
        <v>27.22</v>
      </c>
      <c r="X69" s="7">
        <v>0</v>
      </c>
    </row>
    <row r="70" spans="1:24" x14ac:dyDescent="0.25">
      <c r="A70" s="3">
        <v>2025</v>
      </c>
      <c r="B70" s="2" t="s">
        <v>260</v>
      </c>
      <c r="C70" s="6" t="s">
        <v>28</v>
      </c>
      <c r="D70" s="6" t="s">
        <v>29</v>
      </c>
      <c r="E70" s="6" t="s">
        <v>24</v>
      </c>
      <c r="F70" s="6" t="s">
        <v>266</v>
      </c>
      <c r="G70" s="6">
        <v>106</v>
      </c>
      <c r="H70" s="6">
        <v>6</v>
      </c>
      <c r="I70" s="6">
        <v>1</v>
      </c>
      <c r="J70" s="6">
        <v>4</v>
      </c>
      <c r="K70" s="6">
        <v>9</v>
      </c>
      <c r="L70" s="6" t="s">
        <v>23</v>
      </c>
      <c r="M70" s="8" t="s">
        <v>253</v>
      </c>
      <c r="N70" s="9" t="s">
        <v>57</v>
      </c>
      <c r="O70" s="9" t="s">
        <v>257</v>
      </c>
      <c r="P70" s="10">
        <v>7.15</v>
      </c>
      <c r="Q70" s="10">
        <v>12.6</v>
      </c>
      <c r="R70" s="10">
        <v>37.799999999999997</v>
      </c>
      <c r="S70" s="10">
        <v>4148.75</v>
      </c>
      <c r="T70" s="10">
        <v>4650.12</v>
      </c>
      <c r="U70" s="11">
        <f t="shared" si="1"/>
        <v>4148.1891168599468</v>
      </c>
      <c r="V70" s="10">
        <v>64.83</v>
      </c>
      <c r="W70" s="10">
        <v>27.23</v>
      </c>
      <c r="X70" s="7">
        <v>0</v>
      </c>
    </row>
    <row r="71" spans="1:24" x14ac:dyDescent="0.25">
      <c r="A71" s="3">
        <v>2025</v>
      </c>
      <c r="B71" s="2" t="s">
        <v>260</v>
      </c>
      <c r="C71" s="6" t="s">
        <v>28</v>
      </c>
      <c r="D71" s="6" t="s">
        <v>29</v>
      </c>
      <c r="E71" s="6" t="s">
        <v>24</v>
      </c>
      <c r="F71" s="6" t="s">
        <v>267</v>
      </c>
      <c r="G71" s="6">
        <v>201</v>
      </c>
      <c r="H71" s="6">
        <v>1</v>
      </c>
      <c r="I71" s="6">
        <v>2</v>
      </c>
      <c r="J71" s="6">
        <v>1</v>
      </c>
      <c r="K71" s="6">
        <v>12</v>
      </c>
      <c r="L71" s="6" t="s">
        <v>23</v>
      </c>
      <c r="M71" s="8" t="s">
        <v>253</v>
      </c>
      <c r="N71" s="9" t="s">
        <v>62</v>
      </c>
      <c r="O71" s="9" t="s">
        <v>257</v>
      </c>
      <c r="P71" s="10">
        <v>5.83</v>
      </c>
      <c r="Q71" s="10">
        <v>12.9</v>
      </c>
      <c r="R71" s="10">
        <v>38.5</v>
      </c>
      <c r="S71" s="10">
        <v>3371.21</v>
      </c>
      <c r="T71" s="10">
        <v>3778.62</v>
      </c>
      <c r="U71" s="11">
        <f t="shared" si="1"/>
        <v>3370.7582515611061</v>
      </c>
      <c r="V71" s="10">
        <v>65.45</v>
      </c>
      <c r="W71" s="10">
        <v>25.45</v>
      </c>
      <c r="X71" s="7">
        <v>1</v>
      </c>
    </row>
    <row r="72" spans="1:24" x14ac:dyDescent="0.25">
      <c r="A72" s="3">
        <v>2025</v>
      </c>
      <c r="B72" s="2" t="s">
        <v>260</v>
      </c>
      <c r="C72" s="6" t="s">
        <v>28</v>
      </c>
      <c r="D72" s="6" t="s">
        <v>29</v>
      </c>
      <c r="E72" s="6" t="s">
        <v>24</v>
      </c>
      <c r="F72" s="6" t="s">
        <v>268</v>
      </c>
      <c r="G72" s="6">
        <v>202</v>
      </c>
      <c r="H72" s="6">
        <v>2</v>
      </c>
      <c r="I72" s="6">
        <v>2</v>
      </c>
      <c r="J72" s="6">
        <v>1</v>
      </c>
      <c r="K72" s="6">
        <v>19</v>
      </c>
      <c r="L72" s="6" t="s">
        <v>23</v>
      </c>
      <c r="M72" s="8" t="s">
        <v>254</v>
      </c>
      <c r="N72" s="9" t="s">
        <v>59</v>
      </c>
      <c r="O72" s="9" t="s">
        <v>258</v>
      </c>
      <c r="P72" s="10">
        <v>5.79</v>
      </c>
      <c r="Q72" s="10">
        <v>12.9</v>
      </c>
      <c r="R72" s="10">
        <v>37.1</v>
      </c>
      <c r="S72" s="10">
        <v>3348.08</v>
      </c>
      <c r="T72" s="10">
        <v>3752.7</v>
      </c>
      <c r="U72" s="11">
        <f t="shared" si="1"/>
        <v>3347.636039250669</v>
      </c>
      <c r="V72" s="10">
        <v>65.08</v>
      </c>
      <c r="W72" s="10">
        <v>28.92</v>
      </c>
      <c r="X72" s="7">
        <v>0</v>
      </c>
    </row>
    <row r="73" spans="1:24" x14ac:dyDescent="0.25">
      <c r="A73" s="3">
        <v>2025</v>
      </c>
      <c r="B73" s="2" t="s">
        <v>260</v>
      </c>
      <c r="C73" s="6" t="s">
        <v>28</v>
      </c>
      <c r="D73" s="6" t="s">
        <v>29</v>
      </c>
      <c r="E73" s="6" t="s">
        <v>24</v>
      </c>
      <c r="F73" s="6" t="s">
        <v>269</v>
      </c>
      <c r="G73" s="6">
        <v>203</v>
      </c>
      <c r="H73" s="6">
        <v>3</v>
      </c>
      <c r="I73" s="6">
        <v>2</v>
      </c>
      <c r="J73" s="6">
        <v>2</v>
      </c>
      <c r="K73" s="6">
        <v>13</v>
      </c>
      <c r="L73" s="6" t="s">
        <v>23</v>
      </c>
      <c r="M73" s="8" t="s">
        <v>253</v>
      </c>
      <c r="N73" s="9" t="s">
        <v>59</v>
      </c>
      <c r="O73" s="9" t="s">
        <v>257</v>
      </c>
      <c r="P73" s="10">
        <v>6.42</v>
      </c>
      <c r="Q73" s="10">
        <v>13</v>
      </c>
      <c r="R73" s="10">
        <v>39.200000000000003</v>
      </c>
      <c r="S73" s="10">
        <v>3708.12</v>
      </c>
      <c r="T73" s="10">
        <v>4156.24</v>
      </c>
      <c r="U73" s="11">
        <f t="shared" si="1"/>
        <v>3707.6181980374663</v>
      </c>
      <c r="V73" s="10">
        <v>65.819999999999993</v>
      </c>
      <c r="W73" s="10">
        <v>27.29</v>
      </c>
      <c r="X73" s="7">
        <v>2</v>
      </c>
    </row>
    <row r="74" spans="1:24" x14ac:dyDescent="0.25">
      <c r="A74" s="3">
        <v>2025</v>
      </c>
      <c r="B74" s="2" t="s">
        <v>260</v>
      </c>
      <c r="C74" s="6" t="s">
        <v>28</v>
      </c>
      <c r="D74" s="6" t="s">
        <v>29</v>
      </c>
      <c r="E74" s="6" t="s">
        <v>24</v>
      </c>
      <c r="F74" s="6" t="s">
        <v>270</v>
      </c>
      <c r="G74" s="6">
        <v>204</v>
      </c>
      <c r="H74" s="6">
        <v>4</v>
      </c>
      <c r="I74" s="6">
        <v>2</v>
      </c>
      <c r="J74" s="6">
        <v>3</v>
      </c>
      <c r="K74" s="6">
        <v>8</v>
      </c>
      <c r="L74" s="6" t="s">
        <v>23</v>
      </c>
      <c r="M74" s="8" t="s">
        <v>31</v>
      </c>
      <c r="N74" s="9" t="s">
        <v>61</v>
      </c>
      <c r="O74" s="9" t="s">
        <v>259</v>
      </c>
      <c r="P74" s="10">
        <v>7.4</v>
      </c>
      <c r="Q74" s="10">
        <v>12.9</v>
      </c>
      <c r="R74" s="10">
        <v>38.5</v>
      </c>
      <c r="S74" s="10">
        <v>4279.07</v>
      </c>
      <c r="T74" s="10">
        <v>4796.1899999999996</v>
      </c>
      <c r="U74" s="11">
        <f t="shared" si="1"/>
        <v>4278.4924174843882</v>
      </c>
      <c r="V74" s="10">
        <v>65.709999999999994</v>
      </c>
      <c r="W74" s="10">
        <v>29.34</v>
      </c>
      <c r="X74" s="7">
        <v>0</v>
      </c>
    </row>
    <row r="75" spans="1:24" x14ac:dyDescent="0.25">
      <c r="A75" s="3">
        <v>2025</v>
      </c>
      <c r="B75" s="2" t="s">
        <v>260</v>
      </c>
      <c r="C75" s="6" t="s">
        <v>28</v>
      </c>
      <c r="D75" s="6" t="s">
        <v>29</v>
      </c>
      <c r="E75" s="6" t="s">
        <v>24</v>
      </c>
      <c r="F75" s="6" t="s">
        <v>271</v>
      </c>
      <c r="G75" s="6">
        <v>205</v>
      </c>
      <c r="H75" s="6">
        <v>5</v>
      </c>
      <c r="I75" s="6">
        <v>2</v>
      </c>
      <c r="J75" s="6">
        <v>3</v>
      </c>
      <c r="K75" s="6">
        <v>12</v>
      </c>
      <c r="L75" s="6" t="s">
        <v>23</v>
      </c>
      <c r="M75" s="8" t="s">
        <v>253</v>
      </c>
      <c r="N75" s="9" t="s">
        <v>62</v>
      </c>
      <c r="O75" s="9" t="s">
        <v>257</v>
      </c>
      <c r="P75" s="10">
        <v>6.96</v>
      </c>
      <c r="Q75" s="10">
        <v>12.9</v>
      </c>
      <c r="R75" s="10">
        <v>39.299999999999997</v>
      </c>
      <c r="S75" s="10">
        <v>4024.64</v>
      </c>
      <c r="T75" s="10">
        <v>4511.01</v>
      </c>
      <c r="U75" s="11">
        <f t="shared" si="1"/>
        <v>4024.0945584299734</v>
      </c>
      <c r="V75" s="10">
        <v>66.47</v>
      </c>
      <c r="W75" s="10">
        <v>28.36</v>
      </c>
      <c r="X75" s="7">
        <v>0</v>
      </c>
    </row>
    <row r="76" spans="1:24" x14ac:dyDescent="0.25">
      <c r="A76" s="3">
        <v>2025</v>
      </c>
      <c r="B76" s="2" t="s">
        <v>260</v>
      </c>
      <c r="C76" s="6" t="s">
        <v>28</v>
      </c>
      <c r="D76" s="6" t="s">
        <v>29</v>
      </c>
      <c r="E76" s="6" t="s">
        <v>24</v>
      </c>
      <c r="F76" s="6" t="s">
        <v>272</v>
      </c>
      <c r="G76" s="6">
        <v>206</v>
      </c>
      <c r="H76" s="6">
        <v>6</v>
      </c>
      <c r="I76" s="6">
        <v>2</v>
      </c>
      <c r="J76" s="6">
        <v>4</v>
      </c>
      <c r="K76" s="6">
        <v>15</v>
      </c>
      <c r="L76" s="6" t="s">
        <v>23</v>
      </c>
      <c r="M76" s="8" t="s">
        <v>254</v>
      </c>
      <c r="N76" s="9" t="s">
        <v>57</v>
      </c>
      <c r="O76" s="9" t="s">
        <v>258</v>
      </c>
      <c r="P76" s="10">
        <v>8.2200000000000006</v>
      </c>
      <c r="Q76" s="10">
        <v>13.1</v>
      </c>
      <c r="R76" s="10">
        <v>38.700000000000003</v>
      </c>
      <c r="S76" s="10">
        <v>4742.32</v>
      </c>
      <c r="T76" s="10">
        <v>5315.43</v>
      </c>
      <c r="U76" s="11">
        <f t="shared" si="1"/>
        <v>4741.6859946476361</v>
      </c>
      <c r="V76" s="10">
        <v>64.680000000000007</v>
      </c>
      <c r="W76" s="10">
        <v>26.49</v>
      </c>
      <c r="X76" s="7">
        <v>0</v>
      </c>
    </row>
    <row r="77" spans="1:24" x14ac:dyDescent="0.25">
      <c r="A77" s="3">
        <v>2025</v>
      </c>
      <c r="B77" s="2" t="s">
        <v>260</v>
      </c>
      <c r="C77" s="6" t="s">
        <v>28</v>
      </c>
      <c r="D77" s="6" t="s">
        <v>29</v>
      </c>
      <c r="E77" s="6" t="s">
        <v>24</v>
      </c>
      <c r="F77" s="6" t="s">
        <v>273</v>
      </c>
      <c r="G77" s="6">
        <v>301</v>
      </c>
      <c r="H77" s="6">
        <v>1</v>
      </c>
      <c r="I77" s="6">
        <v>3</v>
      </c>
      <c r="J77" s="6">
        <v>1</v>
      </c>
      <c r="K77" s="6">
        <v>14</v>
      </c>
      <c r="L77" s="6" t="s">
        <v>23</v>
      </c>
      <c r="M77" s="8" t="s">
        <v>253</v>
      </c>
      <c r="N77" s="9" t="s">
        <v>61</v>
      </c>
      <c r="O77" s="9" t="s">
        <v>257</v>
      </c>
      <c r="P77" s="10">
        <v>5.7</v>
      </c>
      <c r="Q77" s="10">
        <v>13.2</v>
      </c>
      <c r="R77" s="10">
        <v>37.700000000000003</v>
      </c>
      <c r="S77" s="10">
        <v>3284.69</v>
      </c>
      <c r="T77" s="10">
        <v>3681.64</v>
      </c>
      <c r="U77" s="11">
        <f t="shared" si="1"/>
        <v>3284.2462087421945</v>
      </c>
      <c r="V77" s="10">
        <v>64.25</v>
      </c>
      <c r="W77" s="10">
        <v>30.72</v>
      </c>
      <c r="X77" s="7">
        <v>0</v>
      </c>
    </row>
    <row r="78" spans="1:24" x14ac:dyDescent="0.25">
      <c r="A78" s="3">
        <v>2025</v>
      </c>
      <c r="B78" s="2" t="s">
        <v>260</v>
      </c>
      <c r="C78" s="6" t="s">
        <v>28</v>
      </c>
      <c r="D78" s="6" t="s">
        <v>29</v>
      </c>
      <c r="E78" s="6" t="s">
        <v>24</v>
      </c>
      <c r="F78" s="6" t="s">
        <v>274</v>
      </c>
      <c r="G78" s="6">
        <v>302</v>
      </c>
      <c r="H78" s="6">
        <v>2</v>
      </c>
      <c r="I78" s="6">
        <v>3</v>
      </c>
      <c r="J78" s="6">
        <v>1</v>
      </c>
      <c r="K78" s="6">
        <v>4</v>
      </c>
      <c r="L78" s="6" t="s">
        <v>23</v>
      </c>
      <c r="M78" s="8" t="s">
        <v>31</v>
      </c>
      <c r="N78" s="9" t="s">
        <v>58</v>
      </c>
      <c r="O78" s="9" t="s">
        <v>259</v>
      </c>
      <c r="P78" s="10">
        <v>5.31</v>
      </c>
      <c r="Q78" s="10">
        <v>11.8</v>
      </c>
      <c r="R78" s="10">
        <v>35.700000000000003</v>
      </c>
      <c r="S78" s="10">
        <v>3109.3</v>
      </c>
      <c r="T78" s="10">
        <v>3485.06</v>
      </c>
      <c r="U78" s="11">
        <f t="shared" si="1"/>
        <v>3108.8849241748439</v>
      </c>
      <c r="V78" s="10">
        <v>63.91</v>
      </c>
      <c r="W78" s="10">
        <v>28.03</v>
      </c>
      <c r="X78" s="7">
        <v>0</v>
      </c>
    </row>
    <row r="79" spans="1:24" x14ac:dyDescent="0.25">
      <c r="A79" s="3">
        <v>2025</v>
      </c>
      <c r="B79" s="2" t="s">
        <v>260</v>
      </c>
      <c r="C79" s="6" t="s">
        <v>28</v>
      </c>
      <c r="D79" s="6" t="s">
        <v>29</v>
      </c>
      <c r="E79" s="6" t="s">
        <v>24</v>
      </c>
      <c r="F79" s="6" t="s">
        <v>275</v>
      </c>
      <c r="G79" s="6">
        <v>303</v>
      </c>
      <c r="H79" s="6">
        <v>3</v>
      </c>
      <c r="I79" s="6">
        <v>3</v>
      </c>
      <c r="J79" s="6">
        <v>2</v>
      </c>
      <c r="K79" s="6">
        <v>14</v>
      </c>
      <c r="L79" s="6" t="s">
        <v>23</v>
      </c>
      <c r="M79" s="8" t="s">
        <v>253</v>
      </c>
      <c r="N79" s="9" t="s">
        <v>61</v>
      </c>
      <c r="O79" s="9" t="s">
        <v>257</v>
      </c>
      <c r="P79" s="10">
        <v>6.28</v>
      </c>
      <c r="Q79" s="10">
        <v>14</v>
      </c>
      <c r="R79" s="10">
        <v>38.299999999999997</v>
      </c>
      <c r="S79" s="10">
        <v>3585.56</v>
      </c>
      <c r="T79" s="10">
        <v>4018.88</v>
      </c>
      <c r="U79" s="11">
        <f t="shared" si="1"/>
        <v>3585.0847457627119</v>
      </c>
      <c r="V79" s="10">
        <v>67.62</v>
      </c>
      <c r="W79" s="10">
        <v>34.130000000000003</v>
      </c>
      <c r="X79" s="7">
        <v>0</v>
      </c>
    </row>
    <row r="80" spans="1:24" x14ac:dyDescent="0.25">
      <c r="A80" s="3">
        <v>2025</v>
      </c>
      <c r="B80" s="2" t="s">
        <v>260</v>
      </c>
      <c r="C80" s="6" t="s">
        <v>28</v>
      </c>
      <c r="D80" s="6" t="s">
        <v>29</v>
      </c>
      <c r="E80" s="6" t="s">
        <v>24</v>
      </c>
      <c r="F80" s="6" t="s">
        <v>276</v>
      </c>
      <c r="G80" s="6">
        <v>304</v>
      </c>
      <c r="H80" s="6">
        <v>4</v>
      </c>
      <c r="I80" s="6">
        <v>3</v>
      </c>
      <c r="J80" s="6">
        <v>3</v>
      </c>
      <c r="K80" s="6">
        <v>9</v>
      </c>
      <c r="L80" s="6" t="s">
        <v>23</v>
      </c>
      <c r="M80" s="8" t="s">
        <v>253</v>
      </c>
      <c r="N80" s="9" t="s">
        <v>57</v>
      </c>
      <c r="O80" s="9" t="s">
        <v>257</v>
      </c>
      <c r="P80" s="10">
        <v>6</v>
      </c>
      <c r="Q80" s="10">
        <v>12.3</v>
      </c>
      <c r="R80" s="10">
        <v>36</v>
      </c>
      <c r="S80" s="10">
        <v>3493.41</v>
      </c>
      <c r="T80" s="10">
        <v>3915.59</v>
      </c>
      <c r="U80" s="11">
        <f t="shared" si="1"/>
        <v>3492.9438001784124</v>
      </c>
      <c r="V80" s="10">
        <v>64.89</v>
      </c>
      <c r="W80" s="10">
        <v>26.27</v>
      </c>
      <c r="X80" s="7">
        <v>0</v>
      </c>
    </row>
    <row r="81" spans="1:24" x14ac:dyDescent="0.25">
      <c r="A81" s="3">
        <v>2025</v>
      </c>
      <c r="B81" s="2" t="s">
        <v>260</v>
      </c>
      <c r="C81" s="6" t="s">
        <v>28</v>
      </c>
      <c r="D81" s="6" t="s">
        <v>29</v>
      </c>
      <c r="E81" s="6" t="s">
        <v>24</v>
      </c>
      <c r="F81" s="6" t="s">
        <v>277</v>
      </c>
      <c r="G81" s="6">
        <v>305</v>
      </c>
      <c r="H81" s="6">
        <v>5</v>
      </c>
      <c r="I81" s="6">
        <v>3</v>
      </c>
      <c r="J81" s="6">
        <v>3</v>
      </c>
      <c r="K81" s="6">
        <v>5</v>
      </c>
      <c r="L81" s="6" t="s">
        <v>23</v>
      </c>
      <c r="M81" s="8" t="s">
        <v>31</v>
      </c>
      <c r="N81" s="9" t="s">
        <v>60</v>
      </c>
      <c r="O81" s="9" t="s">
        <v>259</v>
      </c>
      <c r="P81" s="10">
        <v>7.41</v>
      </c>
      <c r="Q81" s="10">
        <v>12.6</v>
      </c>
      <c r="R81" s="10">
        <v>38.1</v>
      </c>
      <c r="S81" s="10">
        <v>4299.6099999999997</v>
      </c>
      <c r="T81" s="10">
        <v>4819.22</v>
      </c>
      <c r="U81" s="11">
        <f t="shared" si="1"/>
        <v>4299.0365744870651</v>
      </c>
      <c r="V81" s="10">
        <v>66.84</v>
      </c>
      <c r="W81" s="10">
        <v>30.74</v>
      </c>
      <c r="X81" s="7">
        <v>0</v>
      </c>
    </row>
    <row r="82" spans="1:24" x14ac:dyDescent="0.25">
      <c r="A82" s="3">
        <v>2025</v>
      </c>
      <c r="B82" s="2" t="s">
        <v>260</v>
      </c>
      <c r="C82" s="6" t="s">
        <v>28</v>
      </c>
      <c r="D82" s="6" t="s">
        <v>29</v>
      </c>
      <c r="E82" s="6" t="s">
        <v>24</v>
      </c>
      <c r="F82" s="6" t="s">
        <v>278</v>
      </c>
      <c r="G82" s="6">
        <v>306</v>
      </c>
      <c r="H82" s="6">
        <v>6</v>
      </c>
      <c r="I82" s="6">
        <v>3</v>
      </c>
      <c r="J82" s="6">
        <v>4</v>
      </c>
      <c r="K82" s="6">
        <v>19</v>
      </c>
      <c r="L82" s="6" t="s">
        <v>23</v>
      </c>
      <c r="M82" s="8" t="s">
        <v>254</v>
      </c>
      <c r="N82" s="9" t="s">
        <v>59</v>
      </c>
      <c r="O82" s="9" t="s">
        <v>258</v>
      </c>
      <c r="P82" s="10">
        <v>7.93</v>
      </c>
      <c r="Q82" s="10">
        <v>13</v>
      </c>
      <c r="R82" s="10">
        <v>38.1</v>
      </c>
      <c r="S82" s="10">
        <v>4580.28</v>
      </c>
      <c r="T82" s="10">
        <v>5133.8</v>
      </c>
      <c r="U82" s="11">
        <f t="shared" si="1"/>
        <v>4579.6610169491523</v>
      </c>
      <c r="V82" s="10">
        <v>66.25</v>
      </c>
      <c r="W82" s="10">
        <v>32.31</v>
      </c>
      <c r="X82" s="7">
        <v>1</v>
      </c>
    </row>
    <row r="83" spans="1:24" x14ac:dyDescent="0.25">
      <c r="A83" s="3">
        <v>2025</v>
      </c>
      <c r="B83" s="2" t="s">
        <v>260</v>
      </c>
      <c r="C83" s="6" t="s">
        <v>28</v>
      </c>
      <c r="D83" s="6" t="s">
        <v>29</v>
      </c>
      <c r="E83" s="6" t="s">
        <v>24</v>
      </c>
      <c r="F83" s="6" t="s">
        <v>279</v>
      </c>
      <c r="G83" s="6">
        <v>401</v>
      </c>
      <c r="H83" s="6">
        <v>1</v>
      </c>
      <c r="I83" s="6">
        <v>4</v>
      </c>
      <c r="J83" s="6">
        <v>1</v>
      </c>
      <c r="K83" s="6">
        <v>17</v>
      </c>
      <c r="L83" s="6" t="s">
        <v>23</v>
      </c>
      <c r="M83" s="8" t="s">
        <v>254</v>
      </c>
      <c r="N83" s="9" t="s">
        <v>60</v>
      </c>
      <c r="O83" s="9" t="s">
        <v>258</v>
      </c>
      <c r="P83" s="10">
        <v>5.81</v>
      </c>
      <c r="Q83" s="10">
        <v>13.1</v>
      </c>
      <c r="R83" s="10">
        <v>38.6</v>
      </c>
      <c r="S83" s="10">
        <v>3351.93</v>
      </c>
      <c r="T83" s="10">
        <v>3757.01</v>
      </c>
      <c r="U83" s="11">
        <f t="shared" si="1"/>
        <v>3351.4808206958073</v>
      </c>
      <c r="V83" s="10">
        <v>63.84</v>
      </c>
      <c r="W83" s="10">
        <v>28.46</v>
      </c>
      <c r="X83" s="7">
        <v>0</v>
      </c>
    </row>
    <row r="84" spans="1:24" x14ac:dyDescent="0.25">
      <c r="A84" s="3">
        <v>2025</v>
      </c>
      <c r="B84" s="2" t="s">
        <v>260</v>
      </c>
      <c r="C84" s="6" t="s">
        <v>28</v>
      </c>
      <c r="D84" s="6" t="s">
        <v>29</v>
      </c>
      <c r="E84" s="6" t="s">
        <v>24</v>
      </c>
      <c r="F84" s="6" t="s">
        <v>280</v>
      </c>
      <c r="G84" s="6">
        <v>402</v>
      </c>
      <c r="H84" s="6">
        <v>2</v>
      </c>
      <c r="I84" s="6">
        <v>4</v>
      </c>
      <c r="J84" s="6">
        <v>1</v>
      </c>
      <c r="K84" s="6">
        <v>6</v>
      </c>
      <c r="L84" s="6" t="s">
        <v>23</v>
      </c>
      <c r="M84" s="8" t="s">
        <v>31</v>
      </c>
      <c r="N84" s="9" t="s">
        <v>62</v>
      </c>
      <c r="O84" s="9" t="s">
        <v>259</v>
      </c>
      <c r="P84" s="10">
        <v>5.81</v>
      </c>
      <c r="Q84" s="10">
        <v>12</v>
      </c>
      <c r="R84" s="10">
        <v>37.1</v>
      </c>
      <c r="S84" s="10">
        <v>3394.36</v>
      </c>
      <c r="T84" s="10">
        <v>3804.57</v>
      </c>
      <c r="U84" s="11">
        <f t="shared" si="1"/>
        <v>3393.9072256913473</v>
      </c>
      <c r="V84" s="10">
        <v>64.64</v>
      </c>
      <c r="W84" s="10">
        <v>28.28</v>
      </c>
      <c r="X84" s="7">
        <v>0</v>
      </c>
    </row>
    <row r="85" spans="1:24" x14ac:dyDescent="0.25">
      <c r="A85" s="3">
        <v>2025</v>
      </c>
      <c r="B85" s="2" t="s">
        <v>260</v>
      </c>
      <c r="C85" s="6" t="s">
        <v>28</v>
      </c>
      <c r="D85" s="6" t="s">
        <v>29</v>
      </c>
      <c r="E85" s="6" t="s">
        <v>24</v>
      </c>
      <c r="F85" s="6" t="s">
        <v>281</v>
      </c>
      <c r="G85" s="6">
        <v>403</v>
      </c>
      <c r="H85" s="6">
        <v>3</v>
      </c>
      <c r="I85" s="6">
        <v>4</v>
      </c>
      <c r="J85" s="6">
        <v>2</v>
      </c>
      <c r="K85" s="6">
        <v>8</v>
      </c>
      <c r="L85" s="6" t="s">
        <v>23</v>
      </c>
      <c r="M85" s="8" t="s">
        <v>31</v>
      </c>
      <c r="N85" s="9" t="s">
        <v>61</v>
      </c>
      <c r="O85" s="9" t="s">
        <v>259</v>
      </c>
      <c r="P85" s="10">
        <v>6.76</v>
      </c>
      <c r="Q85" s="10">
        <v>13.3</v>
      </c>
      <c r="R85" s="10">
        <v>37.200000000000003</v>
      </c>
      <c r="S85" s="10">
        <v>3891.03</v>
      </c>
      <c r="T85" s="10">
        <v>4361.2700000000004</v>
      </c>
      <c r="U85" s="11">
        <f t="shared" si="1"/>
        <v>3890.5173951828729</v>
      </c>
      <c r="V85" s="10">
        <v>65</v>
      </c>
      <c r="W85" s="10">
        <v>29.68</v>
      </c>
      <c r="X85" s="7">
        <v>0</v>
      </c>
    </row>
    <row r="86" spans="1:24" x14ac:dyDescent="0.25">
      <c r="A86" s="3">
        <v>2025</v>
      </c>
      <c r="B86" s="2" t="s">
        <v>260</v>
      </c>
      <c r="C86" s="6" t="s">
        <v>28</v>
      </c>
      <c r="D86" s="6" t="s">
        <v>29</v>
      </c>
      <c r="E86" s="6" t="s">
        <v>24</v>
      </c>
      <c r="F86" s="6" t="s">
        <v>282</v>
      </c>
      <c r="G86" s="6">
        <v>404</v>
      </c>
      <c r="H86" s="6">
        <v>4</v>
      </c>
      <c r="I86" s="6">
        <v>4</v>
      </c>
      <c r="J86" s="6">
        <v>3</v>
      </c>
      <c r="K86" s="6">
        <v>7</v>
      </c>
      <c r="L86" s="6" t="s">
        <v>23</v>
      </c>
      <c r="M86" s="8" t="s">
        <v>31</v>
      </c>
      <c r="N86" s="9" t="s">
        <v>59</v>
      </c>
      <c r="O86" s="9" t="s">
        <v>259</v>
      </c>
      <c r="P86" s="10">
        <v>6.39</v>
      </c>
      <c r="Q86" s="10">
        <v>13</v>
      </c>
      <c r="R86" s="10">
        <v>38.799999999999997</v>
      </c>
      <c r="S86" s="10">
        <v>3690.79</v>
      </c>
      <c r="T86" s="10">
        <v>4136.82</v>
      </c>
      <c r="U86" s="11">
        <f t="shared" si="1"/>
        <v>3690.2943800178409</v>
      </c>
      <c r="V86" s="10">
        <v>66.040000000000006</v>
      </c>
      <c r="W86" s="10">
        <v>33.270000000000003</v>
      </c>
      <c r="X86" s="7">
        <v>0</v>
      </c>
    </row>
    <row r="87" spans="1:24" x14ac:dyDescent="0.25">
      <c r="A87" s="3">
        <v>2025</v>
      </c>
      <c r="B87" s="2" t="s">
        <v>260</v>
      </c>
      <c r="C87" s="6" t="s">
        <v>28</v>
      </c>
      <c r="D87" s="6" t="s">
        <v>29</v>
      </c>
      <c r="E87" s="6" t="s">
        <v>24</v>
      </c>
      <c r="F87" s="6" t="s">
        <v>283</v>
      </c>
      <c r="G87" s="6">
        <v>405</v>
      </c>
      <c r="H87" s="6">
        <v>5</v>
      </c>
      <c r="I87" s="6">
        <v>4</v>
      </c>
      <c r="J87" s="6">
        <v>3</v>
      </c>
      <c r="K87" s="6">
        <v>11</v>
      </c>
      <c r="L87" s="6" t="s">
        <v>23</v>
      </c>
      <c r="M87" s="8" t="s">
        <v>253</v>
      </c>
      <c r="N87" s="9" t="s">
        <v>60</v>
      </c>
      <c r="O87" s="9" t="s">
        <v>257</v>
      </c>
      <c r="P87" s="10">
        <v>7.64</v>
      </c>
      <c r="Q87" s="10">
        <v>12.9</v>
      </c>
      <c r="R87" s="10">
        <v>38.299999999999997</v>
      </c>
      <c r="S87" s="10">
        <v>4417.8500000000004</v>
      </c>
      <c r="T87" s="10">
        <v>4951.75</v>
      </c>
      <c r="U87" s="11">
        <f t="shared" si="1"/>
        <v>4417.2613737734164</v>
      </c>
      <c r="V87" s="10">
        <v>66.33</v>
      </c>
      <c r="W87" s="10">
        <v>31.58</v>
      </c>
      <c r="X87" s="7">
        <v>0</v>
      </c>
    </row>
    <row r="88" spans="1:24" x14ac:dyDescent="0.25">
      <c r="A88" s="3">
        <v>2025</v>
      </c>
      <c r="B88" s="2" t="s">
        <v>260</v>
      </c>
      <c r="C88" s="6" t="s">
        <v>28</v>
      </c>
      <c r="D88" s="6" t="s">
        <v>29</v>
      </c>
      <c r="E88" s="6" t="s">
        <v>24</v>
      </c>
      <c r="F88" s="6" t="s">
        <v>284</v>
      </c>
      <c r="G88" s="6">
        <v>406</v>
      </c>
      <c r="H88" s="6">
        <v>6</v>
      </c>
      <c r="I88" s="6">
        <v>4</v>
      </c>
      <c r="J88" s="6">
        <v>4</v>
      </c>
      <c r="K88" s="6">
        <v>10</v>
      </c>
      <c r="L88" s="6" t="s">
        <v>23</v>
      </c>
      <c r="M88" s="8" t="s">
        <v>253</v>
      </c>
      <c r="N88" s="9" t="s">
        <v>58</v>
      </c>
      <c r="O88" s="9" t="s">
        <v>257</v>
      </c>
      <c r="P88" s="10">
        <v>7.11</v>
      </c>
      <c r="Q88" s="10">
        <v>13</v>
      </c>
      <c r="R88" s="10">
        <v>36.9</v>
      </c>
      <c r="S88" s="10">
        <v>4106.6499999999996</v>
      </c>
      <c r="T88" s="10">
        <v>4602.9399999999996</v>
      </c>
      <c r="U88" s="11">
        <f t="shared" si="1"/>
        <v>4106.1016949152536</v>
      </c>
      <c r="V88" s="10">
        <v>65.400000000000006</v>
      </c>
      <c r="W88" s="10">
        <v>31.43</v>
      </c>
      <c r="X88" s="7">
        <v>0</v>
      </c>
    </row>
    <row r="89" spans="1:24" x14ac:dyDescent="0.25">
      <c r="A89" s="3">
        <v>2025</v>
      </c>
      <c r="B89" s="2" t="s">
        <v>260</v>
      </c>
      <c r="C89" s="6" t="s">
        <v>28</v>
      </c>
      <c r="D89" s="6" t="s">
        <v>29</v>
      </c>
      <c r="E89" s="6" t="s">
        <v>24</v>
      </c>
      <c r="F89" s="6" t="s">
        <v>285</v>
      </c>
      <c r="G89" s="6">
        <v>501</v>
      </c>
      <c r="H89" s="6">
        <v>1</v>
      </c>
      <c r="I89" s="6">
        <v>5</v>
      </c>
      <c r="J89" s="6">
        <v>1</v>
      </c>
      <c r="K89" s="6">
        <v>20</v>
      </c>
      <c r="L89" s="6" t="s">
        <v>23</v>
      </c>
      <c r="M89" s="8" t="s">
        <v>254</v>
      </c>
      <c r="N89" s="9" t="s">
        <v>61</v>
      </c>
      <c r="O89" s="9" t="s">
        <v>258</v>
      </c>
      <c r="P89" s="10">
        <v>6.31</v>
      </c>
      <c r="Q89" s="10">
        <v>13.4</v>
      </c>
      <c r="R89" s="10">
        <v>38.799999999999997</v>
      </c>
      <c r="S89" s="10">
        <v>3627.83</v>
      </c>
      <c r="T89" s="10">
        <v>4066.25</v>
      </c>
      <c r="U89" s="11">
        <f t="shared" si="1"/>
        <v>3627.3416592328276</v>
      </c>
      <c r="V89" s="10">
        <v>65.53</v>
      </c>
      <c r="W89" s="10">
        <v>31.85</v>
      </c>
      <c r="X89" s="7">
        <v>0</v>
      </c>
    </row>
    <row r="90" spans="1:24" x14ac:dyDescent="0.25">
      <c r="A90" s="3">
        <v>2025</v>
      </c>
      <c r="B90" s="2" t="s">
        <v>260</v>
      </c>
      <c r="C90" s="6" t="s">
        <v>28</v>
      </c>
      <c r="D90" s="6" t="s">
        <v>29</v>
      </c>
      <c r="E90" s="6" t="s">
        <v>24</v>
      </c>
      <c r="F90" s="6" t="s">
        <v>286</v>
      </c>
      <c r="G90" s="6">
        <v>502</v>
      </c>
      <c r="H90" s="6">
        <v>2</v>
      </c>
      <c r="I90" s="6">
        <v>5</v>
      </c>
      <c r="J90" s="6">
        <v>1</v>
      </c>
      <c r="K90" s="6">
        <v>11</v>
      </c>
      <c r="L90" s="6" t="s">
        <v>23</v>
      </c>
      <c r="M90" s="8" t="s">
        <v>253</v>
      </c>
      <c r="N90" s="9" t="s">
        <v>60</v>
      </c>
      <c r="O90" s="9" t="s">
        <v>257</v>
      </c>
      <c r="P90" s="10">
        <v>6.74</v>
      </c>
      <c r="Q90" s="10">
        <v>12</v>
      </c>
      <c r="R90" s="10">
        <v>37.1</v>
      </c>
      <c r="S90" s="10">
        <v>3937.69</v>
      </c>
      <c r="T90" s="10">
        <v>4413.5600000000004</v>
      </c>
      <c r="U90" s="11">
        <f t="shared" si="1"/>
        <v>3937.1632471008033</v>
      </c>
      <c r="V90" s="10">
        <v>64.319999999999993</v>
      </c>
      <c r="W90" s="10">
        <v>27.81</v>
      </c>
      <c r="X90" s="7">
        <v>0</v>
      </c>
    </row>
    <row r="91" spans="1:24" x14ac:dyDescent="0.25">
      <c r="A91" s="3">
        <v>2025</v>
      </c>
      <c r="B91" s="2" t="s">
        <v>260</v>
      </c>
      <c r="C91" s="6" t="s">
        <v>28</v>
      </c>
      <c r="D91" s="6" t="s">
        <v>29</v>
      </c>
      <c r="E91" s="6" t="s">
        <v>24</v>
      </c>
      <c r="F91" s="6" t="s">
        <v>287</v>
      </c>
      <c r="G91" s="6">
        <v>503</v>
      </c>
      <c r="H91" s="6">
        <v>3</v>
      </c>
      <c r="I91" s="6">
        <v>5</v>
      </c>
      <c r="J91" s="6">
        <v>2</v>
      </c>
      <c r="K91" s="6">
        <v>15</v>
      </c>
      <c r="L91" s="6" t="s">
        <v>23</v>
      </c>
      <c r="M91" s="8" t="s">
        <v>254</v>
      </c>
      <c r="N91" s="9" t="s">
        <v>57</v>
      </c>
      <c r="O91" s="9" t="s">
        <v>258</v>
      </c>
      <c r="P91" s="10">
        <v>6.24</v>
      </c>
      <c r="Q91" s="10">
        <v>13.5</v>
      </c>
      <c r="R91" s="10">
        <v>35.700000000000003</v>
      </c>
      <c r="S91" s="10">
        <v>3583.44</v>
      </c>
      <c r="T91" s="10">
        <v>4016.5</v>
      </c>
      <c r="U91" s="11">
        <f t="shared" si="1"/>
        <v>3582.9616413916146</v>
      </c>
      <c r="V91" s="10">
        <v>63.84</v>
      </c>
      <c r="W91" s="10">
        <v>27.18</v>
      </c>
      <c r="X91" s="7">
        <v>0</v>
      </c>
    </row>
    <row r="92" spans="1:24" x14ac:dyDescent="0.25">
      <c r="A92" s="3">
        <v>2025</v>
      </c>
      <c r="B92" s="2" t="s">
        <v>260</v>
      </c>
      <c r="C92" s="6" t="s">
        <v>28</v>
      </c>
      <c r="D92" s="6" t="s">
        <v>29</v>
      </c>
      <c r="E92" s="6" t="s">
        <v>24</v>
      </c>
      <c r="F92" s="6" t="s">
        <v>288</v>
      </c>
      <c r="G92" s="6">
        <v>504</v>
      </c>
      <c r="H92" s="6">
        <v>4</v>
      </c>
      <c r="I92" s="6">
        <v>5</v>
      </c>
      <c r="J92" s="6">
        <v>3</v>
      </c>
      <c r="K92" s="6">
        <v>15</v>
      </c>
      <c r="L92" s="6" t="s">
        <v>23</v>
      </c>
      <c r="M92" s="8" t="s">
        <v>254</v>
      </c>
      <c r="N92" s="9" t="s">
        <v>57</v>
      </c>
      <c r="O92" s="9" t="s">
        <v>258</v>
      </c>
      <c r="P92" s="10">
        <v>8.41</v>
      </c>
      <c r="Q92" s="10">
        <v>13.4</v>
      </c>
      <c r="R92" s="10">
        <v>39.9</v>
      </c>
      <c r="S92" s="10">
        <v>4835.1899999999996</v>
      </c>
      <c r="T92" s="10">
        <v>5419.52</v>
      </c>
      <c r="U92" s="11">
        <f t="shared" si="1"/>
        <v>4834.5405887600364</v>
      </c>
      <c r="V92" s="10">
        <v>65.34</v>
      </c>
      <c r="W92" s="10">
        <v>31.28</v>
      </c>
      <c r="X92" s="7">
        <v>0</v>
      </c>
    </row>
    <row r="93" spans="1:24" x14ac:dyDescent="0.25">
      <c r="A93" s="3">
        <v>2025</v>
      </c>
      <c r="B93" s="2" t="s">
        <v>260</v>
      </c>
      <c r="C93" s="6" t="s">
        <v>28</v>
      </c>
      <c r="D93" s="6" t="s">
        <v>29</v>
      </c>
      <c r="E93" s="6" t="s">
        <v>24</v>
      </c>
      <c r="F93" s="6" t="s">
        <v>289</v>
      </c>
      <c r="G93" s="6">
        <v>505</v>
      </c>
      <c r="H93" s="6">
        <v>5</v>
      </c>
      <c r="I93" s="6">
        <v>5</v>
      </c>
      <c r="J93" s="6">
        <v>3</v>
      </c>
      <c r="K93" s="6">
        <v>6</v>
      </c>
      <c r="L93" s="6" t="s">
        <v>23</v>
      </c>
      <c r="M93" s="8" t="s">
        <v>31</v>
      </c>
      <c r="N93" s="9" t="s">
        <v>62</v>
      </c>
      <c r="O93" s="9" t="s">
        <v>259</v>
      </c>
      <c r="P93" s="10">
        <v>6.75</v>
      </c>
      <c r="Q93" s="10">
        <v>12.7</v>
      </c>
      <c r="R93" s="10">
        <v>37.4</v>
      </c>
      <c r="S93" s="10">
        <v>3912.17</v>
      </c>
      <c r="T93" s="10">
        <v>4384.95</v>
      </c>
      <c r="U93" s="11">
        <f t="shared" si="1"/>
        <v>3911.6413916146298</v>
      </c>
      <c r="V93" s="10">
        <v>65.900000000000006</v>
      </c>
      <c r="W93" s="10">
        <v>35.19</v>
      </c>
      <c r="X93" s="7">
        <v>0</v>
      </c>
    </row>
    <row r="94" spans="1:24" x14ac:dyDescent="0.25">
      <c r="A94" s="3">
        <v>2025</v>
      </c>
      <c r="B94" s="2" t="s">
        <v>260</v>
      </c>
      <c r="C94" s="6" t="s">
        <v>28</v>
      </c>
      <c r="D94" s="6" t="s">
        <v>29</v>
      </c>
      <c r="E94" s="6" t="s">
        <v>24</v>
      </c>
      <c r="F94" s="6" t="s">
        <v>290</v>
      </c>
      <c r="G94" s="6">
        <v>506</v>
      </c>
      <c r="H94" s="6">
        <v>6</v>
      </c>
      <c r="I94" s="6">
        <v>5</v>
      </c>
      <c r="J94" s="6">
        <v>4</v>
      </c>
      <c r="K94" s="6">
        <v>13</v>
      </c>
      <c r="L94" s="6" t="s">
        <v>23</v>
      </c>
      <c r="M94" s="8" t="s">
        <v>253</v>
      </c>
      <c r="N94" s="9" t="s">
        <v>59</v>
      </c>
      <c r="O94" s="9" t="s">
        <v>257</v>
      </c>
      <c r="P94" s="10">
        <v>7.66</v>
      </c>
      <c r="Q94" s="10">
        <v>13</v>
      </c>
      <c r="R94" s="10">
        <v>38</v>
      </c>
      <c r="S94" s="10">
        <v>4424.33</v>
      </c>
      <c r="T94" s="10">
        <v>4959.01</v>
      </c>
      <c r="U94" s="11">
        <f t="shared" si="1"/>
        <v>4423.7377341659239</v>
      </c>
      <c r="V94" s="10">
        <v>66.849999999999994</v>
      </c>
      <c r="W94" s="10">
        <v>35.520000000000003</v>
      </c>
      <c r="X94" s="7">
        <v>0</v>
      </c>
    </row>
    <row r="95" spans="1:24" x14ac:dyDescent="0.25">
      <c r="A95" s="3">
        <v>2025</v>
      </c>
      <c r="B95" s="2" t="s">
        <v>260</v>
      </c>
      <c r="C95" s="6" t="s">
        <v>28</v>
      </c>
      <c r="D95" s="6" t="s">
        <v>29</v>
      </c>
      <c r="E95" s="6" t="s">
        <v>24</v>
      </c>
      <c r="F95" s="6" t="s">
        <v>291</v>
      </c>
      <c r="G95" s="6">
        <v>601</v>
      </c>
      <c r="H95" s="6">
        <v>1</v>
      </c>
      <c r="I95" s="6">
        <v>6</v>
      </c>
      <c r="J95" s="6">
        <v>1</v>
      </c>
      <c r="K95" s="6">
        <v>1</v>
      </c>
      <c r="L95" s="6" t="s">
        <v>23</v>
      </c>
      <c r="M95" s="8" t="s">
        <v>469</v>
      </c>
      <c r="N95" s="8" t="s">
        <v>469</v>
      </c>
      <c r="O95" s="8" t="s">
        <v>469</v>
      </c>
      <c r="P95" s="10">
        <v>5.32</v>
      </c>
      <c r="Q95" s="10">
        <v>13.5</v>
      </c>
      <c r="R95" s="10">
        <v>39.9</v>
      </c>
      <c r="S95" s="10">
        <v>3055.11</v>
      </c>
      <c r="T95" s="10">
        <v>3424.32</v>
      </c>
      <c r="U95" s="11">
        <f t="shared" si="1"/>
        <v>3054.7011596788584</v>
      </c>
      <c r="V95" s="10">
        <v>68.61</v>
      </c>
      <c r="W95" s="10">
        <v>38.67</v>
      </c>
      <c r="X95" s="7">
        <v>0</v>
      </c>
    </row>
    <row r="96" spans="1:24" x14ac:dyDescent="0.25">
      <c r="A96" s="3">
        <v>2025</v>
      </c>
      <c r="B96" s="2" t="s">
        <v>260</v>
      </c>
      <c r="C96" s="6" t="s">
        <v>28</v>
      </c>
      <c r="D96" s="6" t="s">
        <v>29</v>
      </c>
      <c r="E96" s="6" t="s">
        <v>24</v>
      </c>
      <c r="F96" s="6" t="s">
        <v>292</v>
      </c>
      <c r="G96" s="6">
        <v>602</v>
      </c>
      <c r="H96" s="6">
        <v>2</v>
      </c>
      <c r="I96" s="6">
        <v>6</v>
      </c>
      <c r="J96" s="6">
        <v>1</v>
      </c>
      <c r="K96" s="6">
        <v>18</v>
      </c>
      <c r="L96" s="6" t="s">
        <v>23</v>
      </c>
      <c r="M96" s="8" t="s">
        <v>254</v>
      </c>
      <c r="N96" s="9" t="s">
        <v>62</v>
      </c>
      <c r="O96" s="9" t="s">
        <v>258</v>
      </c>
      <c r="P96" s="10">
        <v>6.51</v>
      </c>
      <c r="Q96" s="10">
        <v>12.8</v>
      </c>
      <c r="R96" s="10">
        <v>38</v>
      </c>
      <c r="S96" s="10">
        <v>3768.75</v>
      </c>
      <c r="T96" s="10">
        <v>4224.2</v>
      </c>
      <c r="U96" s="11">
        <f t="shared" si="1"/>
        <v>3768.242640499554</v>
      </c>
      <c r="V96" s="10">
        <v>66.37</v>
      </c>
      <c r="W96" s="10">
        <v>32.340000000000003</v>
      </c>
      <c r="X96" s="7">
        <v>0</v>
      </c>
    </row>
    <row r="97" spans="1:24" x14ac:dyDescent="0.25">
      <c r="A97" s="3">
        <v>2025</v>
      </c>
      <c r="B97" s="2" t="s">
        <v>260</v>
      </c>
      <c r="C97" s="6" t="s">
        <v>28</v>
      </c>
      <c r="D97" s="6" t="s">
        <v>29</v>
      </c>
      <c r="E97" s="6" t="s">
        <v>24</v>
      </c>
      <c r="F97" s="6" t="s">
        <v>293</v>
      </c>
      <c r="G97" s="6">
        <v>603</v>
      </c>
      <c r="H97" s="6">
        <v>3</v>
      </c>
      <c r="I97" s="6">
        <v>6</v>
      </c>
      <c r="J97" s="6">
        <v>2</v>
      </c>
      <c r="K97" s="6">
        <v>10</v>
      </c>
      <c r="L97" s="6" t="s">
        <v>23</v>
      </c>
      <c r="M97" s="8" t="s">
        <v>253</v>
      </c>
      <c r="N97" s="9" t="s">
        <v>58</v>
      </c>
      <c r="O97" s="9" t="s">
        <v>257</v>
      </c>
      <c r="P97" s="10">
        <v>6.08</v>
      </c>
      <c r="Q97" s="10">
        <v>13.3</v>
      </c>
      <c r="R97" s="10">
        <v>37.200000000000003</v>
      </c>
      <c r="S97" s="10">
        <v>3499.63</v>
      </c>
      <c r="T97" s="10">
        <v>3922.56</v>
      </c>
      <c r="U97" s="11">
        <f t="shared" si="1"/>
        <v>3499.1614629794826</v>
      </c>
      <c r="V97" s="10">
        <v>66.17</v>
      </c>
      <c r="W97" s="10">
        <v>29.54</v>
      </c>
      <c r="X97" s="7">
        <v>0</v>
      </c>
    </row>
    <row r="98" spans="1:24" x14ac:dyDescent="0.25">
      <c r="A98" s="3">
        <v>2025</v>
      </c>
      <c r="B98" s="2" t="s">
        <v>260</v>
      </c>
      <c r="C98" s="6" t="s">
        <v>28</v>
      </c>
      <c r="D98" s="6" t="s">
        <v>29</v>
      </c>
      <c r="E98" s="6" t="s">
        <v>24</v>
      </c>
      <c r="F98" s="6" t="s">
        <v>294</v>
      </c>
      <c r="G98" s="6">
        <v>604</v>
      </c>
      <c r="H98" s="6">
        <v>4</v>
      </c>
      <c r="I98" s="6">
        <v>6</v>
      </c>
      <c r="J98" s="6">
        <v>3</v>
      </c>
      <c r="K98" s="6">
        <v>21</v>
      </c>
      <c r="L98" s="6" t="s">
        <v>23</v>
      </c>
      <c r="M98" s="8" t="s">
        <v>255</v>
      </c>
      <c r="N98" s="9" t="s">
        <v>58</v>
      </c>
      <c r="O98" s="9" t="s">
        <v>255</v>
      </c>
      <c r="P98" s="10">
        <v>7.53</v>
      </c>
      <c r="Q98" s="10">
        <v>13.4</v>
      </c>
      <c r="R98" s="10">
        <v>37.9</v>
      </c>
      <c r="S98" s="10">
        <v>4329.25</v>
      </c>
      <c r="T98" s="10">
        <v>4852.43</v>
      </c>
      <c r="U98" s="11">
        <f t="shared" si="1"/>
        <v>4328.6619090098129</v>
      </c>
      <c r="V98" s="10">
        <v>66.069999999999993</v>
      </c>
      <c r="W98" s="10">
        <v>31.35</v>
      </c>
      <c r="X98" s="7">
        <v>0</v>
      </c>
    </row>
    <row r="99" spans="1:24" x14ac:dyDescent="0.25">
      <c r="A99" s="3">
        <v>2025</v>
      </c>
      <c r="B99" s="2" t="s">
        <v>260</v>
      </c>
      <c r="C99" s="6" t="s">
        <v>28</v>
      </c>
      <c r="D99" s="6" t="s">
        <v>29</v>
      </c>
      <c r="E99" s="6" t="s">
        <v>24</v>
      </c>
      <c r="F99" s="6" t="s">
        <v>295</v>
      </c>
      <c r="G99" s="6">
        <v>605</v>
      </c>
      <c r="H99" s="6">
        <v>5</v>
      </c>
      <c r="I99" s="6">
        <v>6</v>
      </c>
      <c r="J99" s="6">
        <v>3</v>
      </c>
      <c r="K99" s="6">
        <v>14</v>
      </c>
      <c r="L99" s="6" t="s">
        <v>23</v>
      </c>
      <c r="M99" s="8" t="s">
        <v>253</v>
      </c>
      <c r="N99" s="9" t="s">
        <v>61</v>
      </c>
      <c r="O99" s="9" t="s">
        <v>257</v>
      </c>
      <c r="P99" s="10">
        <v>7.32</v>
      </c>
      <c r="Q99" s="10">
        <v>12.9</v>
      </c>
      <c r="R99" s="10">
        <v>37.6</v>
      </c>
      <c r="S99" s="10">
        <v>4232.8100000000004</v>
      </c>
      <c r="T99" s="10">
        <v>4744.34</v>
      </c>
      <c r="U99" s="11">
        <f t="shared" si="1"/>
        <v>4232.2390722569135</v>
      </c>
      <c r="V99" s="10">
        <v>66.31</v>
      </c>
      <c r="W99" s="10">
        <v>37.35</v>
      </c>
      <c r="X99" s="7">
        <v>0</v>
      </c>
    </row>
    <row r="100" spans="1:24" x14ac:dyDescent="0.25">
      <c r="A100" s="3">
        <v>2025</v>
      </c>
      <c r="B100" s="2" t="s">
        <v>260</v>
      </c>
      <c r="C100" s="6" t="s">
        <v>28</v>
      </c>
      <c r="D100" s="6" t="s">
        <v>29</v>
      </c>
      <c r="E100" s="6" t="s">
        <v>24</v>
      </c>
      <c r="F100" s="6" t="s">
        <v>296</v>
      </c>
      <c r="G100" s="6">
        <v>606</v>
      </c>
      <c r="H100" s="6">
        <v>6</v>
      </c>
      <c r="I100" s="6">
        <v>6</v>
      </c>
      <c r="J100" s="6">
        <v>4</v>
      </c>
      <c r="K100" s="6">
        <v>8</v>
      </c>
      <c r="L100" s="6" t="s">
        <v>23</v>
      </c>
      <c r="M100" s="8" t="s">
        <v>31</v>
      </c>
      <c r="N100" s="9" t="s">
        <v>61</v>
      </c>
      <c r="O100" s="9" t="s">
        <v>259</v>
      </c>
      <c r="P100" s="10">
        <v>7.77</v>
      </c>
      <c r="Q100" s="10">
        <v>12.6</v>
      </c>
      <c r="R100" s="10">
        <v>38.799999999999997</v>
      </c>
      <c r="S100" s="10">
        <v>4508.5</v>
      </c>
      <c r="T100" s="10">
        <v>5053.3500000000004</v>
      </c>
      <c r="U100" s="11">
        <f t="shared" si="1"/>
        <v>4507.8947368421059</v>
      </c>
      <c r="V100" s="10">
        <v>66.180000000000007</v>
      </c>
      <c r="W100" s="10">
        <v>36.47</v>
      </c>
      <c r="X100" s="7">
        <v>0</v>
      </c>
    </row>
    <row r="101" spans="1:24" x14ac:dyDescent="0.25">
      <c r="A101" s="3">
        <v>2025</v>
      </c>
      <c r="B101" s="2" t="s">
        <v>260</v>
      </c>
      <c r="C101" s="6" t="s">
        <v>28</v>
      </c>
      <c r="D101" s="6" t="s">
        <v>29</v>
      </c>
      <c r="E101" s="6" t="s">
        <v>24</v>
      </c>
      <c r="F101" s="6" t="s">
        <v>297</v>
      </c>
      <c r="G101" s="6">
        <v>701</v>
      </c>
      <c r="H101" s="6">
        <v>1</v>
      </c>
      <c r="I101" s="6">
        <v>7</v>
      </c>
      <c r="J101" s="6">
        <v>1</v>
      </c>
      <c r="K101" s="6">
        <v>9</v>
      </c>
      <c r="L101" s="6" t="s">
        <v>23</v>
      </c>
      <c r="M101" s="8" t="s">
        <v>253</v>
      </c>
      <c r="N101" s="9" t="s">
        <v>57</v>
      </c>
      <c r="O101" s="9" t="s">
        <v>257</v>
      </c>
      <c r="P101" s="10">
        <v>6.29</v>
      </c>
      <c r="Q101" s="10">
        <v>13.1</v>
      </c>
      <c r="R101" s="10">
        <v>37.799999999999997</v>
      </c>
      <c r="S101" s="10">
        <v>3628.86</v>
      </c>
      <c r="T101" s="10">
        <v>4067.4</v>
      </c>
      <c r="U101" s="11">
        <f t="shared" si="1"/>
        <v>3628.3675289919715</v>
      </c>
      <c r="V101" s="10">
        <v>62.96</v>
      </c>
      <c r="W101" s="10">
        <v>26.04</v>
      </c>
      <c r="X101" s="7">
        <v>0</v>
      </c>
    </row>
    <row r="102" spans="1:24" x14ac:dyDescent="0.25">
      <c r="A102" s="3">
        <v>2025</v>
      </c>
      <c r="B102" s="2" t="s">
        <v>260</v>
      </c>
      <c r="C102" s="6" t="s">
        <v>28</v>
      </c>
      <c r="D102" s="6" t="s">
        <v>29</v>
      </c>
      <c r="E102" s="6" t="s">
        <v>24</v>
      </c>
      <c r="F102" s="6" t="s">
        <v>298</v>
      </c>
      <c r="G102" s="6">
        <v>702</v>
      </c>
      <c r="H102" s="6">
        <v>2</v>
      </c>
      <c r="I102" s="6">
        <v>7</v>
      </c>
      <c r="J102" s="6">
        <v>1</v>
      </c>
      <c r="K102" s="6">
        <v>7</v>
      </c>
      <c r="L102" s="6" t="s">
        <v>23</v>
      </c>
      <c r="M102" s="8" t="s">
        <v>31</v>
      </c>
      <c r="N102" s="9" t="s">
        <v>59</v>
      </c>
      <c r="O102" s="9" t="s">
        <v>259</v>
      </c>
      <c r="P102" s="10">
        <v>4.83</v>
      </c>
      <c r="Q102" s="10">
        <v>11.8</v>
      </c>
      <c r="R102" s="10">
        <v>36.200000000000003</v>
      </c>
      <c r="S102" s="10">
        <v>2828.23</v>
      </c>
      <c r="T102" s="10">
        <v>3170.02</v>
      </c>
      <c r="U102" s="11">
        <f t="shared" si="1"/>
        <v>2827.8501338090991</v>
      </c>
      <c r="V102" s="10">
        <v>65.61</v>
      </c>
      <c r="W102" s="10">
        <v>31.74</v>
      </c>
      <c r="X102" s="7">
        <v>0</v>
      </c>
    </row>
    <row r="103" spans="1:24" x14ac:dyDescent="0.25">
      <c r="A103" s="3">
        <v>2025</v>
      </c>
      <c r="B103" s="2" t="s">
        <v>260</v>
      </c>
      <c r="C103" s="6" t="s">
        <v>28</v>
      </c>
      <c r="D103" s="6" t="s">
        <v>29</v>
      </c>
      <c r="E103" s="6" t="s">
        <v>24</v>
      </c>
      <c r="F103" s="6" t="s">
        <v>299</v>
      </c>
      <c r="G103" s="6">
        <v>703</v>
      </c>
      <c r="H103" s="6">
        <v>3</v>
      </c>
      <c r="I103" s="6">
        <v>7</v>
      </c>
      <c r="J103" s="6">
        <v>2</v>
      </c>
      <c r="K103" s="6">
        <v>5</v>
      </c>
      <c r="L103" s="6" t="s">
        <v>23</v>
      </c>
      <c r="M103" s="8" t="s">
        <v>31</v>
      </c>
      <c r="N103" s="9" t="s">
        <v>60</v>
      </c>
      <c r="O103" s="9" t="s">
        <v>259</v>
      </c>
      <c r="P103" s="10">
        <v>6.53</v>
      </c>
      <c r="Q103" s="10">
        <v>12.8</v>
      </c>
      <c r="R103" s="10">
        <v>35.4</v>
      </c>
      <c r="S103" s="10">
        <v>3780.32</v>
      </c>
      <c r="T103" s="10">
        <v>4237.18</v>
      </c>
      <c r="U103" s="11">
        <f t="shared" si="1"/>
        <v>3779.8215878679753</v>
      </c>
      <c r="V103" s="10">
        <v>65.459999999999994</v>
      </c>
      <c r="W103" s="10">
        <v>29.76</v>
      </c>
      <c r="X103" s="7">
        <v>0</v>
      </c>
    </row>
    <row r="104" spans="1:24" x14ac:dyDescent="0.25">
      <c r="A104" s="3">
        <v>2025</v>
      </c>
      <c r="B104" s="2" t="s">
        <v>260</v>
      </c>
      <c r="C104" s="6" t="s">
        <v>28</v>
      </c>
      <c r="D104" s="6" t="s">
        <v>29</v>
      </c>
      <c r="E104" s="6" t="s">
        <v>24</v>
      </c>
      <c r="F104" s="6" t="s">
        <v>300</v>
      </c>
      <c r="G104" s="6">
        <v>704</v>
      </c>
      <c r="H104" s="6">
        <v>4</v>
      </c>
      <c r="I104" s="6">
        <v>7</v>
      </c>
      <c r="J104" s="6">
        <v>3</v>
      </c>
      <c r="K104" s="6">
        <v>3</v>
      </c>
      <c r="L104" s="6" t="s">
        <v>23</v>
      </c>
      <c r="M104" s="8" t="s">
        <v>31</v>
      </c>
      <c r="N104" s="9" t="s">
        <v>57</v>
      </c>
      <c r="O104" s="9" t="s">
        <v>259</v>
      </c>
      <c r="P104" s="10">
        <v>6.24</v>
      </c>
      <c r="Q104" s="10">
        <v>12.9</v>
      </c>
      <c r="R104" s="10">
        <v>38.1</v>
      </c>
      <c r="S104" s="10">
        <v>3608.3</v>
      </c>
      <c r="T104" s="10">
        <v>4044.36</v>
      </c>
      <c r="U104" s="11">
        <f t="shared" si="1"/>
        <v>3607.8144513826942</v>
      </c>
      <c r="V104" s="10">
        <v>64.84</v>
      </c>
      <c r="W104" s="10">
        <v>29.88</v>
      </c>
      <c r="X104" s="7">
        <v>0</v>
      </c>
    </row>
    <row r="105" spans="1:24" x14ac:dyDescent="0.25">
      <c r="A105" s="3">
        <v>2025</v>
      </c>
      <c r="B105" s="2" t="s">
        <v>260</v>
      </c>
      <c r="C105" s="6" t="s">
        <v>28</v>
      </c>
      <c r="D105" s="6" t="s">
        <v>29</v>
      </c>
      <c r="E105" s="6" t="s">
        <v>24</v>
      </c>
      <c r="F105" s="6" t="s">
        <v>301</v>
      </c>
      <c r="G105" s="6">
        <v>705</v>
      </c>
      <c r="H105" s="6">
        <v>5</v>
      </c>
      <c r="I105" s="6">
        <v>7</v>
      </c>
      <c r="J105" s="6">
        <v>3</v>
      </c>
      <c r="K105" s="6">
        <v>18</v>
      </c>
      <c r="L105" s="6" t="s">
        <v>23</v>
      </c>
      <c r="M105" s="8" t="s">
        <v>254</v>
      </c>
      <c r="N105" s="9" t="s">
        <v>62</v>
      </c>
      <c r="O105" s="9" t="s">
        <v>258</v>
      </c>
      <c r="P105" s="10">
        <v>7.28</v>
      </c>
      <c r="Q105" s="10">
        <v>13.4</v>
      </c>
      <c r="R105" s="10">
        <v>38.799999999999997</v>
      </c>
      <c r="S105" s="10">
        <v>4185.51</v>
      </c>
      <c r="T105" s="10">
        <v>4691.33</v>
      </c>
      <c r="U105" s="11">
        <f t="shared" si="1"/>
        <v>4184.950936663693</v>
      </c>
      <c r="V105" s="10">
        <v>65.540000000000006</v>
      </c>
      <c r="W105" s="10">
        <v>33.49</v>
      </c>
      <c r="X105" s="7">
        <v>0</v>
      </c>
    </row>
    <row r="106" spans="1:24" x14ac:dyDescent="0.25">
      <c r="A106" s="3">
        <v>2025</v>
      </c>
      <c r="B106" s="2" t="s">
        <v>260</v>
      </c>
      <c r="C106" s="6" t="s">
        <v>28</v>
      </c>
      <c r="D106" s="6" t="s">
        <v>29</v>
      </c>
      <c r="E106" s="6" t="s">
        <v>24</v>
      </c>
      <c r="F106" s="6" t="s">
        <v>302</v>
      </c>
      <c r="G106" s="6">
        <v>706</v>
      </c>
      <c r="H106" s="6">
        <v>6</v>
      </c>
      <c r="I106" s="6">
        <v>7</v>
      </c>
      <c r="J106" s="6">
        <v>4</v>
      </c>
      <c r="K106" s="6">
        <v>17</v>
      </c>
      <c r="L106" s="6" t="s">
        <v>23</v>
      </c>
      <c r="M106" s="8" t="s">
        <v>254</v>
      </c>
      <c r="N106" s="9" t="s">
        <v>60</v>
      </c>
      <c r="O106" s="9" t="s">
        <v>258</v>
      </c>
      <c r="P106" s="10">
        <v>7.09</v>
      </c>
      <c r="Q106" s="10">
        <v>13.1</v>
      </c>
      <c r="R106" s="10">
        <v>38.200000000000003</v>
      </c>
      <c r="S106" s="10">
        <v>4090.4</v>
      </c>
      <c r="T106" s="10">
        <v>4584.72</v>
      </c>
      <c r="U106" s="11">
        <f t="shared" si="1"/>
        <v>4089.8483496877789</v>
      </c>
      <c r="V106" s="10">
        <v>65.11</v>
      </c>
      <c r="W106" s="10">
        <v>31.47</v>
      </c>
      <c r="X106" s="7">
        <v>0</v>
      </c>
    </row>
    <row r="107" spans="1:24" x14ac:dyDescent="0.25">
      <c r="A107" s="3">
        <v>2025</v>
      </c>
      <c r="B107" s="2" t="s">
        <v>260</v>
      </c>
      <c r="C107" s="6" t="s">
        <v>28</v>
      </c>
      <c r="D107" s="6" t="s">
        <v>29</v>
      </c>
      <c r="E107" s="6" t="s">
        <v>24</v>
      </c>
      <c r="F107" s="6" t="s">
        <v>303</v>
      </c>
      <c r="G107" s="6">
        <v>801</v>
      </c>
      <c r="H107" s="6">
        <v>1</v>
      </c>
      <c r="I107" s="6">
        <v>8</v>
      </c>
      <c r="J107" s="6">
        <v>1</v>
      </c>
      <c r="K107" s="6">
        <v>16</v>
      </c>
      <c r="L107" s="6" t="s">
        <v>23</v>
      </c>
      <c r="M107" s="8" t="s">
        <v>254</v>
      </c>
      <c r="N107" s="9" t="s">
        <v>58</v>
      </c>
      <c r="O107" s="9" t="s">
        <v>258</v>
      </c>
      <c r="P107" s="10">
        <v>7.03</v>
      </c>
      <c r="Q107" s="10">
        <v>12.9</v>
      </c>
      <c r="R107" s="10">
        <v>38.4</v>
      </c>
      <c r="S107" s="10">
        <v>4065.11</v>
      </c>
      <c r="T107" s="10">
        <v>4556.38</v>
      </c>
      <c r="U107" s="11">
        <f t="shared" si="1"/>
        <v>4064.5673505798395</v>
      </c>
      <c r="V107" s="10">
        <v>66.989999999999995</v>
      </c>
      <c r="W107" s="10">
        <v>30.98</v>
      </c>
      <c r="X107" s="7">
        <v>0</v>
      </c>
    </row>
    <row r="108" spans="1:24" x14ac:dyDescent="0.25">
      <c r="A108" s="3">
        <v>2025</v>
      </c>
      <c r="B108" s="2" t="s">
        <v>260</v>
      </c>
      <c r="C108" s="6" t="s">
        <v>28</v>
      </c>
      <c r="D108" s="6" t="s">
        <v>29</v>
      </c>
      <c r="E108" s="6" t="s">
        <v>24</v>
      </c>
      <c r="F108" s="6" t="s">
        <v>304</v>
      </c>
      <c r="G108" s="6">
        <v>802</v>
      </c>
      <c r="H108" s="6">
        <v>2</v>
      </c>
      <c r="I108" s="6">
        <v>8</v>
      </c>
      <c r="J108" s="6">
        <v>2</v>
      </c>
      <c r="K108" s="6">
        <v>7</v>
      </c>
      <c r="L108" s="6" t="s">
        <v>23</v>
      </c>
      <c r="M108" s="8" t="s">
        <v>31</v>
      </c>
      <c r="N108" s="9" t="s">
        <v>59</v>
      </c>
      <c r="O108" s="9" t="s">
        <v>259</v>
      </c>
      <c r="P108" s="10">
        <v>5.68</v>
      </c>
      <c r="Q108" s="10">
        <v>12.2</v>
      </c>
      <c r="R108" s="10">
        <v>37.4</v>
      </c>
      <c r="S108" s="10">
        <v>3310.87</v>
      </c>
      <c r="T108" s="10">
        <v>3710.99</v>
      </c>
      <c r="U108" s="11">
        <f t="shared" si="1"/>
        <v>3310.4281891168598</v>
      </c>
      <c r="V108" s="10">
        <v>65.819999999999993</v>
      </c>
      <c r="W108" s="10">
        <v>30.87</v>
      </c>
      <c r="X108" s="7">
        <v>0</v>
      </c>
    </row>
    <row r="109" spans="1:24" x14ac:dyDescent="0.25">
      <c r="A109" s="3">
        <v>2025</v>
      </c>
      <c r="B109" s="2" t="s">
        <v>260</v>
      </c>
      <c r="C109" s="6" t="s">
        <v>28</v>
      </c>
      <c r="D109" s="6" t="s">
        <v>29</v>
      </c>
      <c r="E109" s="6" t="s">
        <v>24</v>
      </c>
      <c r="F109" s="6" t="s">
        <v>305</v>
      </c>
      <c r="G109" s="6">
        <v>803</v>
      </c>
      <c r="H109" s="6">
        <v>3</v>
      </c>
      <c r="I109" s="6">
        <v>8</v>
      </c>
      <c r="J109" s="6">
        <v>2</v>
      </c>
      <c r="K109" s="6">
        <v>21</v>
      </c>
      <c r="L109" s="6" t="s">
        <v>23</v>
      </c>
      <c r="M109" s="8" t="s">
        <v>255</v>
      </c>
      <c r="N109" s="9" t="s">
        <v>58</v>
      </c>
      <c r="O109" s="9" t="s">
        <v>255</v>
      </c>
      <c r="P109" s="10">
        <v>6.6</v>
      </c>
      <c r="Q109" s="10">
        <v>12.5</v>
      </c>
      <c r="R109" s="10">
        <v>34.5</v>
      </c>
      <c r="S109" s="10">
        <v>3833.99</v>
      </c>
      <c r="T109" s="10">
        <v>4297.33</v>
      </c>
      <c r="U109" s="11">
        <f t="shared" si="1"/>
        <v>3833.4790365744871</v>
      </c>
      <c r="V109" s="10">
        <v>64.02</v>
      </c>
      <c r="W109" s="10">
        <v>27.8</v>
      </c>
      <c r="X109" s="7">
        <v>0</v>
      </c>
    </row>
    <row r="110" spans="1:24" x14ac:dyDescent="0.25">
      <c r="A110" s="3">
        <v>2025</v>
      </c>
      <c r="B110" s="2" t="s">
        <v>260</v>
      </c>
      <c r="C110" s="6" t="s">
        <v>28</v>
      </c>
      <c r="D110" s="6" t="s">
        <v>29</v>
      </c>
      <c r="E110" s="6" t="s">
        <v>24</v>
      </c>
      <c r="F110" s="6" t="s">
        <v>306</v>
      </c>
      <c r="G110" s="6">
        <v>804</v>
      </c>
      <c r="H110" s="6">
        <v>4</v>
      </c>
      <c r="I110" s="6">
        <v>8</v>
      </c>
      <c r="J110" s="6">
        <v>3</v>
      </c>
      <c r="K110" s="6">
        <v>16</v>
      </c>
      <c r="L110" s="6" t="s">
        <v>23</v>
      </c>
      <c r="M110" s="8" t="s">
        <v>254</v>
      </c>
      <c r="N110" s="9" t="s">
        <v>58</v>
      </c>
      <c r="O110" s="9" t="s">
        <v>258</v>
      </c>
      <c r="P110" s="10">
        <v>6.71</v>
      </c>
      <c r="Q110" s="10">
        <v>12.5</v>
      </c>
      <c r="R110" s="10">
        <v>38.5</v>
      </c>
      <c r="S110" s="10">
        <v>3897.89</v>
      </c>
      <c r="T110" s="10">
        <v>4368.95</v>
      </c>
      <c r="U110" s="11">
        <f t="shared" si="1"/>
        <v>3897.3684210526312</v>
      </c>
      <c r="V110" s="10">
        <v>64.040000000000006</v>
      </c>
      <c r="W110" s="10">
        <v>26.05</v>
      </c>
      <c r="X110" s="7">
        <v>0</v>
      </c>
    </row>
    <row r="111" spans="1:24" x14ac:dyDescent="0.25">
      <c r="A111" s="3">
        <v>2025</v>
      </c>
      <c r="B111" s="2" t="s">
        <v>260</v>
      </c>
      <c r="C111" s="6" t="s">
        <v>28</v>
      </c>
      <c r="D111" s="6" t="s">
        <v>29</v>
      </c>
      <c r="E111" s="6" t="s">
        <v>24</v>
      </c>
      <c r="F111" s="6" t="s">
        <v>307</v>
      </c>
      <c r="G111" s="6">
        <v>805</v>
      </c>
      <c r="H111" s="6">
        <v>5</v>
      </c>
      <c r="I111" s="6">
        <v>8</v>
      </c>
      <c r="J111" s="6">
        <v>4</v>
      </c>
      <c r="K111" s="6">
        <v>2</v>
      </c>
      <c r="L111" s="6" t="s">
        <v>23</v>
      </c>
      <c r="M111" s="8" t="s">
        <v>469</v>
      </c>
      <c r="N111" s="8" t="s">
        <v>469</v>
      </c>
      <c r="O111" s="8" t="s">
        <v>469</v>
      </c>
      <c r="P111" s="10">
        <v>7</v>
      </c>
      <c r="Q111" s="10">
        <v>12.5</v>
      </c>
      <c r="R111" s="10">
        <v>37.799999999999997</v>
      </c>
      <c r="S111" s="10">
        <v>4066.36</v>
      </c>
      <c r="T111" s="10">
        <v>4557.78</v>
      </c>
      <c r="U111" s="11">
        <f t="shared" si="1"/>
        <v>4065.816235504014</v>
      </c>
      <c r="V111" s="10">
        <v>65.83</v>
      </c>
      <c r="W111" s="10">
        <v>29.96</v>
      </c>
      <c r="X111" s="7">
        <v>0</v>
      </c>
    </row>
    <row r="112" spans="1:24" x14ac:dyDescent="0.25">
      <c r="A112" s="3">
        <v>2025</v>
      </c>
      <c r="B112" s="2" t="s">
        <v>260</v>
      </c>
      <c r="C112" s="6" t="s">
        <v>28</v>
      </c>
      <c r="D112" s="6" t="s">
        <v>29</v>
      </c>
      <c r="E112" s="6" t="s">
        <v>24</v>
      </c>
      <c r="F112" s="6" t="s">
        <v>308</v>
      </c>
      <c r="G112" s="6">
        <v>806</v>
      </c>
      <c r="H112" s="6">
        <v>6</v>
      </c>
      <c r="I112" s="6">
        <v>8</v>
      </c>
      <c r="J112" s="6">
        <v>4</v>
      </c>
      <c r="K112" s="6">
        <v>18</v>
      </c>
      <c r="L112" s="6" t="s">
        <v>23</v>
      </c>
      <c r="M112" s="8" t="s">
        <v>254</v>
      </c>
      <c r="N112" s="9" t="s">
        <v>62</v>
      </c>
      <c r="O112" s="9" t="s">
        <v>258</v>
      </c>
      <c r="P112" s="10">
        <v>7.65</v>
      </c>
      <c r="Q112" s="10">
        <v>13.1</v>
      </c>
      <c r="R112" s="10">
        <v>39.1</v>
      </c>
      <c r="S112" s="10">
        <v>4413.47</v>
      </c>
      <c r="T112" s="10">
        <v>4946.84</v>
      </c>
      <c r="U112" s="11">
        <f t="shared" si="1"/>
        <v>4412.8813559322034</v>
      </c>
      <c r="V112" s="10">
        <v>65.39</v>
      </c>
      <c r="W112" s="10">
        <v>32.28</v>
      </c>
      <c r="X112" s="7">
        <v>0</v>
      </c>
    </row>
    <row r="113" spans="1:24" x14ac:dyDescent="0.25">
      <c r="A113" s="3">
        <v>2025</v>
      </c>
      <c r="B113" s="2" t="s">
        <v>260</v>
      </c>
      <c r="C113" s="6" t="s">
        <v>28</v>
      </c>
      <c r="D113" s="6" t="s">
        <v>29</v>
      </c>
      <c r="E113" s="6" t="s">
        <v>24</v>
      </c>
      <c r="F113" s="6" t="s">
        <v>309</v>
      </c>
      <c r="G113" s="6">
        <v>901</v>
      </c>
      <c r="H113" s="6">
        <v>1</v>
      </c>
      <c r="I113" s="6">
        <v>9</v>
      </c>
      <c r="J113" s="6">
        <v>1</v>
      </c>
      <c r="K113" s="6">
        <v>10</v>
      </c>
      <c r="L113" s="6" t="s">
        <v>23</v>
      </c>
      <c r="M113" s="8" t="s">
        <v>253</v>
      </c>
      <c r="N113" s="9" t="s">
        <v>58</v>
      </c>
      <c r="O113" s="9" t="s">
        <v>257</v>
      </c>
      <c r="P113" s="10">
        <v>6.62</v>
      </c>
      <c r="Q113" s="10">
        <v>13.1</v>
      </c>
      <c r="R113" s="10">
        <v>38.799999999999997</v>
      </c>
      <c r="S113" s="10">
        <v>3819.24</v>
      </c>
      <c r="T113" s="10">
        <v>4280.8</v>
      </c>
      <c r="U113" s="11">
        <f t="shared" si="1"/>
        <v>3818.7332738626228</v>
      </c>
      <c r="V113" s="10">
        <v>65.66</v>
      </c>
      <c r="W113" s="10">
        <v>28.82</v>
      </c>
      <c r="X113" s="7">
        <v>0</v>
      </c>
    </row>
    <row r="114" spans="1:24" x14ac:dyDescent="0.25">
      <c r="A114" s="3">
        <v>2025</v>
      </c>
      <c r="B114" s="2" t="s">
        <v>260</v>
      </c>
      <c r="C114" s="6" t="s">
        <v>28</v>
      </c>
      <c r="D114" s="6" t="s">
        <v>29</v>
      </c>
      <c r="E114" s="6" t="s">
        <v>24</v>
      </c>
      <c r="F114" s="6" t="s">
        <v>310</v>
      </c>
      <c r="G114" s="6">
        <v>902</v>
      </c>
      <c r="H114" s="6">
        <v>2</v>
      </c>
      <c r="I114" s="6">
        <v>9</v>
      </c>
      <c r="J114" s="6">
        <v>2</v>
      </c>
      <c r="K114" s="6">
        <v>17</v>
      </c>
      <c r="L114" s="6" t="s">
        <v>23</v>
      </c>
      <c r="M114" s="8" t="s">
        <v>254</v>
      </c>
      <c r="N114" s="9" t="s">
        <v>60</v>
      </c>
      <c r="O114" s="9" t="s">
        <v>258</v>
      </c>
      <c r="P114" s="10">
        <v>7.09</v>
      </c>
      <c r="Q114" s="10">
        <v>12.6</v>
      </c>
      <c r="R114" s="10">
        <v>38.799999999999997</v>
      </c>
      <c r="S114" s="10">
        <v>4113.93</v>
      </c>
      <c r="T114" s="10">
        <v>4611.1000000000004</v>
      </c>
      <c r="U114" s="11">
        <f t="shared" si="1"/>
        <v>4113.3809099018736</v>
      </c>
      <c r="V114" s="10">
        <v>64.89</v>
      </c>
      <c r="W114" s="10">
        <v>29.02</v>
      </c>
      <c r="X114" s="7">
        <v>0</v>
      </c>
    </row>
    <row r="115" spans="1:24" x14ac:dyDescent="0.25">
      <c r="A115" s="3">
        <v>2025</v>
      </c>
      <c r="B115" s="2" t="s">
        <v>260</v>
      </c>
      <c r="C115" s="6" t="s">
        <v>28</v>
      </c>
      <c r="D115" s="6" t="s">
        <v>29</v>
      </c>
      <c r="E115" s="6" t="s">
        <v>24</v>
      </c>
      <c r="F115" s="6" t="s">
        <v>311</v>
      </c>
      <c r="G115" s="6">
        <v>903</v>
      </c>
      <c r="H115" s="6">
        <v>3</v>
      </c>
      <c r="I115" s="6">
        <v>9</v>
      </c>
      <c r="J115" s="6">
        <v>2</v>
      </c>
      <c r="K115" s="6">
        <v>2</v>
      </c>
      <c r="L115" s="6" t="s">
        <v>23</v>
      </c>
      <c r="M115" s="8" t="s">
        <v>469</v>
      </c>
      <c r="N115" s="8" t="s">
        <v>469</v>
      </c>
      <c r="O115" s="8" t="s">
        <v>469</v>
      </c>
      <c r="P115" s="10">
        <v>6.91</v>
      </c>
      <c r="Q115" s="10">
        <v>12.4</v>
      </c>
      <c r="R115" s="10">
        <v>37.9</v>
      </c>
      <c r="S115" s="10">
        <v>4018.66</v>
      </c>
      <c r="T115" s="10">
        <v>4504.32</v>
      </c>
      <c r="U115" s="11">
        <f t="shared" si="1"/>
        <v>4018.1266726137374</v>
      </c>
      <c r="V115" s="10">
        <v>66.53</v>
      </c>
      <c r="W115" s="10">
        <v>31.08</v>
      </c>
      <c r="X115" s="7">
        <v>0</v>
      </c>
    </row>
    <row r="116" spans="1:24" x14ac:dyDescent="0.25">
      <c r="A116" s="3">
        <v>2025</v>
      </c>
      <c r="B116" s="2" t="s">
        <v>260</v>
      </c>
      <c r="C116" s="6" t="s">
        <v>28</v>
      </c>
      <c r="D116" s="6" t="s">
        <v>29</v>
      </c>
      <c r="E116" s="6" t="s">
        <v>24</v>
      </c>
      <c r="F116" s="6" t="s">
        <v>312</v>
      </c>
      <c r="G116" s="6">
        <v>904</v>
      </c>
      <c r="H116" s="6">
        <v>4</v>
      </c>
      <c r="I116" s="6">
        <v>9</v>
      </c>
      <c r="J116" s="6">
        <v>3</v>
      </c>
      <c r="K116" s="6">
        <v>4</v>
      </c>
      <c r="L116" s="6" t="s">
        <v>23</v>
      </c>
      <c r="M116" s="8" t="s">
        <v>31</v>
      </c>
      <c r="N116" s="9" t="s">
        <v>58</v>
      </c>
      <c r="O116" s="9" t="s">
        <v>259</v>
      </c>
      <c r="P116" s="10">
        <v>6.85</v>
      </c>
      <c r="Q116" s="10">
        <v>12.7</v>
      </c>
      <c r="R116" s="10">
        <v>38</v>
      </c>
      <c r="S116" s="10">
        <v>3970.12</v>
      </c>
      <c r="T116" s="10">
        <v>4449.91</v>
      </c>
      <c r="U116" s="11">
        <f t="shared" si="1"/>
        <v>3969.5896520963424</v>
      </c>
      <c r="V116" s="10">
        <v>65.08</v>
      </c>
      <c r="W116" s="10">
        <v>27.07</v>
      </c>
      <c r="X116" s="7">
        <v>0</v>
      </c>
    </row>
    <row r="117" spans="1:24" x14ac:dyDescent="0.25">
      <c r="A117" s="3">
        <v>2025</v>
      </c>
      <c r="B117" s="2" t="s">
        <v>260</v>
      </c>
      <c r="C117" s="6" t="s">
        <v>28</v>
      </c>
      <c r="D117" s="6" t="s">
        <v>29</v>
      </c>
      <c r="E117" s="6" t="s">
        <v>24</v>
      </c>
      <c r="F117" s="6" t="s">
        <v>313</v>
      </c>
      <c r="G117" s="6">
        <v>905</v>
      </c>
      <c r="H117" s="6">
        <v>5</v>
      </c>
      <c r="I117" s="6">
        <v>9</v>
      </c>
      <c r="J117" s="6">
        <v>4</v>
      </c>
      <c r="K117" s="6">
        <v>11</v>
      </c>
      <c r="L117" s="6" t="s">
        <v>23</v>
      </c>
      <c r="M117" s="8" t="s">
        <v>253</v>
      </c>
      <c r="N117" s="9" t="s">
        <v>60</v>
      </c>
      <c r="O117" s="9" t="s">
        <v>257</v>
      </c>
      <c r="P117" s="10">
        <v>7.25</v>
      </c>
      <c r="Q117" s="10">
        <v>12.8</v>
      </c>
      <c r="R117" s="10">
        <v>38.6</v>
      </c>
      <c r="S117" s="10">
        <v>4197.1400000000003</v>
      </c>
      <c r="T117" s="10">
        <v>4704.37</v>
      </c>
      <c r="U117" s="11">
        <f t="shared" si="1"/>
        <v>4196.5834076717219</v>
      </c>
      <c r="V117" s="10">
        <v>65.540000000000006</v>
      </c>
      <c r="W117" s="10">
        <v>29.21</v>
      </c>
      <c r="X117" s="7">
        <v>0</v>
      </c>
    </row>
    <row r="118" spans="1:24" x14ac:dyDescent="0.25">
      <c r="A118" s="3">
        <v>2025</v>
      </c>
      <c r="B118" s="2" t="s">
        <v>260</v>
      </c>
      <c r="C118" s="6" t="s">
        <v>28</v>
      </c>
      <c r="D118" s="6" t="s">
        <v>29</v>
      </c>
      <c r="E118" s="6" t="s">
        <v>24</v>
      </c>
      <c r="F118" s="6" t="s">
        <v>314</v>
      </c>
      <c r="G118" s="6">
        <v>906</v>
      </c>
      <c r="H118" s="6">
        <v>6</v>
      </c>
      <c r="I118" s="6">
        <v>9</v>
      </c>
      <c r="J118" s="6">
        <v>4</v>
      </c>
      <c r="K118" s="6">
        <v>1</v>
      </c>
      <c r="L118" s="6" t="s">
        <v>23</v>
      </c>
      <c r="M118" s="8" t="s">
        <v>469</v>
      </c>
      <c r="N118" s="8" t="s">
        <v>469</v>
      </c>
      <c r="O118" s="8" t="s">
        <v>469</v>
      </c>
      <c r="P118" s="10">
        <v>7.57</v>
      </c>
      <c r="Q118" s="10">
        <v>12.8</v>
      </c>
      <c r="R118" s="10">
        <v>38.1</v>
      </c>
      <c r="S118" s="10">
        <v>4382.3999999999996</v>
      </c>
      <c r="T118" s="10">
        <v>4912.01</v>
      </c>
      <c r="U118" s="11">
        <f t="shared" si="1"/>
        <v>4381.8108831400541</v>
      </c>
      <c r="V118" s="10">
        <v>68.59</v>
      </c>
      <c r="W118" s="10">
        <v>40.68</v>
      </c>
      <c r="X118" s="7">
        <v>0</v>
      </c>
    </row>
    <row r="119" spans="1:24" x14ac:dyDescent="0.25">
      <c r="A119" s="3">
        <v>2025</v>
      </c>
      <c r="B119" s="2" t="s">
        <v>260</v>
      </c>
      <c r="C119" s="6" t="s">
        <v>28</v>
      </c>
      <c r="D119" s="6" t="s">
        <v>29</v>
      </c>
      <c r="E119" s="6" t="s">
        <v>24</v>
      </c>
      <c r="F119" s="6" t="s">
        <v>315</v>
      </c>
      <c r="G119" s="6">
        <v>1001</v>
      </c>
      <c r="H119" s="6">
        <v>1</v>
      </c>
      <c r="I119" s="6">
        <v>10</v>
      </c>
      <c r="J119" s="6">
        <v>1</v>
      </c>
      <c r="K119" s="6">
        <v>15</v>
      </c>
      <c r="L119" s="6" t="s">
        <v>23</v>
      </c>
      <c r="M119" s="8" t="s">
        <v>254</v>
      </c>
      <c r="N119" s="9" t="s">
        <v>57</v>
      </c>
      <c r="O119" s="9" t="s">
        <v>258</v>
      </c>
      <c r="P119" s="10">
        <v>6.81</v>
      </c>
      <c r="Q119" s="10">
        <v>12.8</v>
      </c>
      <c r="R119" s="10">
        <v>38.6</v>
      </c>
      <c r="S119" s="10">
        <v>3942.42</v>
      </c>
      <c r="T119" s="10">
        <v>4418.8599999999997</v>
      </c>
      <c r="U119" s="11">
        <f t="shared" si="1"/>
        <v>3941.8911685994644</v>
      </c>
      <c r="V119" s="10">
        <v>66.739999999999995</v>
      </c>
      <c r="W119" s="10">
        <v>31.31</v>
      </c>
      <c r="X119" s="7">
        <v>0</v>
      </c>
    </row>
    <row r="120" spans="1:24" x14ac:dyDescent="0.25">
      <c r="A120" s="3">
        <v>2025</v>
      </c>
      <c r="B120" s="2" t="s">
        <v>260</v>
      </c>
      <c r="C120" s="6" t="s">
        <v>28</v>
      </c>
      <c r="D120" s="6" t="s">
        <v>29</v>
      </c>
      <c r="E120" s="6" t="s">
        <v>24</v>
      </c>
      <c r="F120" s="6" t="s">
        <v>316</v>
      </c>
      <c r="G120" s="6">
        <v>1002</v>
      </c>
      <c r="H120" s="6">
        <v>2</v>
      </c>
      <c r="I120" s="6">
        <v>10</v>
      </c>
      <c r="J120" s="6">
        <v>2</v>
      </c>
      <c r="K120" s="6">
        <v>4</v>
      </c>
      <c r="L120" s="6" t="s">
        <v>23</v>
      </c>
      <c r="M120" s="8" t="s">
        <v>31</v>
      </c>
      <c r="N120" s="9" t="s">
        <v>58</v>
      </c>
      <c r="O120" s="9" t="s">
        <v>259</v>
      </c>
      <c r="P120" s="10">
        <v>6.96</v>
      </c>
      <c r="Q120" s="10">
        <v>13.2</v>
      </c>
      <c r="R120" s="10">
        <v>37.9</v>
      </c>
      <c r="S120" s="10">
        <v>4010.77</v>
      </c>
      <c r="T120" s="10">
        <v>4495.4799999999996</v>
      </c>
      <c r="U120" s="11">
        <f t="shared" si="1"/>
        <v>4010.2408563782333</v>
      </c>
      <c r="V120" s="10">
        <v>66.02</v>
      </c>
      <c r="W120" s="10">
        <v>29.29</v>
      </c>
      <c r="X120" s="7">
        <v>0</v>
      </c>
    </row>
    <row r="121" spans="1:24" x14ac:dyDescent="0.25">
      <c r="A121" s="3">
        <v>2025</v>
      </c>
      <c r="B121" s="2" t="s">
        <v>260</v>
      </c>
      <c r="C121" s="6" t="s">
        <v>28</v>
      </c>
      <c r="D121" s="6" t="s">
        <v>29</v>
      </c>
      <c r="E121" s="6" t="s">
        <v>24</v>
      </c>
      <c r="F121" s="6" t="s">
        <v>317</v>
      </c>
      <c r="G121" s="6">
        <v>1003</v>
      </c>
      <c r="H121" s="6">
        <v>3</v>
      </c>
      <c r="I121" s="6">
        <v>10</v>
      </c>
      <c r="J121" s="6">
        <v>2</v>
      </c>
      <c r="K121" s="6">
        <v>18</v>
      </c>
      <c r="L121" s="6" t="s">
        <v>23</v>
      </c>
      <c r="M121" s="8" t="s">
        <v>254</v>
      </c>
      <c r="N121" s="9" t="s">
        <v>62</v>
      </c>
      <c r="O121" s="9" t="s">
        <v>258</v>
      </c>
      <c r="P121" s="10">
        <v>7.01</v>
      </c>
      <c r="Q121" s="10">
        <v>12.6</v>
      </c>
      <c r="R121" s="10">
        <v>37.6</v>
      </c>
      <c r="S121" s="10">
        <v>4067.51</v>
      </c>
      <c r="T121" s="10">
        <v>4559.07</v>
      </c>
      <c r="U121" s="11">
        <f t="shared" si="1"/>
        <v>4066.966993755575</v>
      </c>
      <c r="V121" s="10">
        <v>66.47</v>
      </c>
      <c r="W121" s="10">
        <v>32.99</v>
      </c>
      <c r="X121" s="7">
        <v>0</v>
      </c>
    </row>
    <row r="122" spans="1:24" x14ac:dyDescent="0.25">
      <c r="A122" s="3">
        <v>2025</v>
      </c>
      <c r="B122" s="2" t="s">
        <v>260</v>
      </c>
      <c r="C122" s="6" t="s">
        <v>28</v>
      </c>
      <c r="D122" s="6" t="s">
        <v>29</v>
      </c>
      <c r="E122" s="6" t="s">
        <v>24</v>
      </c>
      <c r="F122" s="6" t="s">
        <v>318</v>
      </c>
      <c r="G122" s="6">
        <v>1004</v>
      </c>
      <c r="H122" s="6">
        <v>4</v>
      </c>
      <c r="I122" s="6">
        <v>10</v>
      </c>
      <c r="J122" s="6">
        <v>3</v>
      </c>
      <c r="K122" s="6">
        <v>1</v>
      </c>
      <c r="L122" s="6" t="s">
        <v>23</v>
      </c>
      <c r="M122" s="8" t="s">
        <v>469</v>
      </c>
      <c r="N122" s="8" t="s">
        <v>469</v>
      </c>
      <c r="O122" s="8" t="s">
        <v>469</v>
      </c>
      <c r="P122" s="10">
        <v>8.23</v>
      </c>
      <c r="Q122" s="10">
        <v>13.4</v>
      </c>
      <c r="R122" s="10">
        <v>39.200000000000003</v>
      </c>
      <c r="S122" s="10">
        <v>4731.7</v>
      </c>
      <c r="T122" s="10">
        <v>5303.52</v>
      </c>
      <c r="U122" s="11">
        <f t="shared" si="1"/>
        <v>4731.0615521855489</v>
      </c>
      <c r="V122" s="10">
        <v>69.87</v>
      </c>
      <c r="W122" s="10">
        <v>44.86</v>
      </c>
      <c r="X122" s="7">
        <v>0</v>
      </c>
    </row>
    <row r="123" spans="1:24" x14ac:dyDescent="0.25">
      <c r="A123" s="3">
        <v>2025</v>
      </c>
      <c r="B123" s="2" t="s">
        <v>260</v>
      </c>
      <c r="C123" s="6" t="s">
        <v>28</v>
      </c>
      <c r="D123" s="6" t="s">
        <v>29</v>
      </c>
      <c r="E123" s="6" t="s">
        <v>24</v>
      </c>
      <c r="F123" s="6" t="s">
        <v>319</v>
      </c>
      <c r="G123" s="6">
        <v>1005</v>
      </c>
      <c r="H123" s="6">
        <v>5</v>
      </c>
      <c r="I123" s="6">
        <v>10</v>
      </c>
      <c r="J123" s="6">
        <v>4</v>
      </c>
      <c r="K123" s="6">
        <v>5</v>
      </c>
      <c r="L123" s="6" t="s">
        <v>23</v>
      </c>
      <c r="M123" s="8" t="s">
        <v>31</v>
      </c>
      <c r="N123" s="9" t="s">
        <v>60</v>
      </c>
      <c r="O123" s="9" t="s">
        <v>259</v>
      </c>
      <c r="P123" s="10">
        <v>7.77</v>
      </c>
      <c r="Q123" s="10">
        <v>13.1</v>
      </c>
      <c r="R123" s="10">
        <v>38.5</v>
      </c>
      <c r="S123" s="10">
        <v>4482.7</v>
      </c>
      <c r="T123" s="10">
        <v>5024.4399999999996</v>
      </c>
      <c r="U123" s="11">
        <f t="shared" si="1"/>
        <v>4482.1052631578941</v>
      </c>
      <c r="V123" s="10">
        <v>66.84</v>
      </c>
      <c r="W123" s="10">
        <v>33.24</v>
      </c>
      <c r="X123" s="7">
        <v>0</v>
      </c>
    </row>
    <row r="124" spans="1:24" x14ac:dyDescent="0.25">
      <c r="A124" s="3">
        <v>2025</v>
      </c>
      <c r="B124" s="2" t="s">
        <v>260</v>
      </c>
      <c r="C124" s="6" t="s">
        <v>28</v>
      </c>
      <c r="D124" s="6" t="s">
        <v>29</v>
      </c>
      <c r="E124" s="6" t="s">
        <v>24</v>
      </c>
      <c r="F124" s="6" t="s">
        <v>320</v>
      </c>
      <c r="G124" s="6">
        <v>1006</v>
      </c>
      <c r="H124" s="6">
        <v>6</v>
      </c>
      <c r="I124" s="6">
        <v>10</v>
      </c>
      <c r="J124" s="6">
        <v>4</v>
      </c>
      <c r="K124" s="6">
        <v>4</v>
      </c>
      <c r="L124" s="6" t="s">
        <v>23</v>
      </c>
      <c r="M124" s="8" t="s">
        <v>31</v>
      </c>
      <c r="N124" s="9" t="s">
        <v>58</v>
      </c>
      <c r="O124" s="9" t="s">
        <v>259</v>
      </c>
      <c r="P124" s="10">
        <v>8.5399999999999991</v>
      </c>
      <c r="Q124" s="10">
        <v>13.6</v>
      </c>
      <c r="R124" s="10">
        <v>39.4</v>
      </c>
      <c r="S124" s="10">
        <v>4898.59</v>
      </c>
      <c r="T124" s="10">
        <v>5490.58</v>
      </c>
      <c r="U124" s="11">
        <f t="shared" si="1"/>
        <v>4897.9304192685104</v>
      </c>
      <c r="V124" s="10">
        <v>66.06</v>
      </c>
      <c r="W124" s="10">
        <v>31.98</v>
      </c>
      <c r="X124" s="7">
        <v>0</v>
      </c>
    </row>
    <row r="125" spans="1:24" x14ac:dyDescent="0.25">
      <c r="A125" s="3">
        <v>2025</v>
      </c>
      <c r="B125" s="2" t="s">
        <v>260</v>
      </c>
      <c r="C125" s="6" t="s">
        <v>28</v>
      </c>
      <c r="D125" s="6" t="s">
        <v>29</v>
      </c>
      <c r="E125" s="6" t="s">
        <v>24</v>
      </c>
      <c r="F125" s="6" t="s">
        <v>321</v>
      </c>
      <c r="G125" s="6">
        <v>1101</v>
      </c>
      <c r="H125" s="6">
        <v>1</v>
      </c>
      <c r="I125" s="6">
        <v>11</v>
      </c>
      <c r="J125" s="6">
        <v>1</v>
      </c>
      <c r="K125" s="6">
        <v>2</v>
      </c>
      <c r="L125" s="6" t="s">
        <v>23</v>
      </c>
      <c r="M125" s="8" t="s">
        <v>469</v>
      </c>
      <c r="N125" s="8" t="s">
        <v>469</v>
      </c>
      <c r="O125" s="8" t="s">
        <v>469</v>
      </c>
      <c r="P125" s="10">
        <v>6.61</v>
      </c>
      <c r="Q125" s="10">
        <v>12.7</v>
      </c>
      <c r="R125" s="10">
        <v>38.700000000000003</v>
      </c>
      <c r="S125" s="10">
        <v>3831.03</v>
      </c>
      <c r="T125" s="10">
        <v>4294</v>
      </c>
      <c r="U125" s="11">
        <f t="shared" si="1"/>
        <v>3830.5084745762711</v>
      </c>
      <c r="V125" s="10">
        <v>66.48</v>
      </c>
      <c r="W125" s="10">
        <v>29.87</v>
      </c>
      <c r="X125" s="7">
        <v>0</v>
      </c>
    </row>
    <row r="126" spans="1:24" x14ac:dyDescent="0.25">
      <c r="A126" s="3">
        <v>2025</v>
      </c>
      <c r="B126" s="2" t="s">
        <v>260</v>
      </c>
      <c r="C126" s="6" t="s">
        <v>28</v>
      </c>
      <c r="D126" s="6" t="s">
        <v>29</v>
      </c>
      <c r="E126" s="6" t="s">
        <v>24</v>
      </c>
      <c r="F126" s="6" t="s">
        <v>322</v>
      </c>
      <c r="G126" s="6">
        <v>1102</v>
      </c>
      <c r="H126" s="6">
        <v>2</v>
      </c>
      <c r="I126" s="6">
        <v>11</v>
      </c>
      <c r="J126" s="6">
        <v>2</v>
      </c>
      <c r="K126" s="6">
        <v>1</v>
      </c>
      <c r="L126" s="6" t="s">
        <v>23</v>
      </c>
      <c r="M126" s="8" t="s">
        <v>469</v>
      </c>
      <c r="N126" s="8" t="s">
        <v>469</v>
      </c>
      <c r="O126" s="8" t="s">
        <v>469</v>
      </c>
      <c r="P126" s="10">
        <v>7.59</v>
      </c>
      <c r="Q126" s="10">
        <v>12.6</v>
      </c>
      <c r="R126" s="10">
        <v>39</v>
      </c>
      <c r="S126" s="10">
        <v>4404.05</v>
      </c>
      <c r="T126" s="10">
        <v>4936.28</v>
      </c>
      <c r="U126" s="11">
        <f t="shared" si="1"/>
        <v>4403.4611953612848</v>
      </c>
      <c r="V126" s="10">
        <v>64.45</v>
      </c>
      <c r="W126" s="10">
        <v>24.18</v>
      </c>
      <c r="X126" s="7">
        <v>0</v>
      </c>
    </row>
    <row r="127" spans="1:24" x14ac:dyDescent="0.25">
      <c r="A127" s="3">
        <v>2025</v>
      </c>
      <c r="B127" s="2" t="s">
        <v>260</v>
      </c>
      <c r="C127" s="6" t="s">
        <v>28</v>
      </c>
      <c r="D127" s="6" t="s">
        <v>29</v>
      </c>
      <c r="E127" s="6" t="s">
        <v>24</v>
      </c>
      <c r="F127" s="6" t="s">
        <v>323</v>
      </c>
      <c r="G127" s="6">
        <v>1103</v>
      </c>
      <c r="H127" s="6">
        <v>3</v>
      </c>
      <c r="I127" s="6">
        <v>11</v>
      </c>
      <c r="J127" s="6">
        <v>2</v>
      </c>
      <c r="K127" s="6">
        <v>9</v>
      </c>
      <c r="L127" s="6" t="s">
        <v>23</v>
      </c>
      <c r="M127" s="8" t="s">
        <v>253</v>
      </c>
      <c r="N127" s="9" t="s">
        <v>57</v>
      </c>
      <c r="O127" s="9" t="s">
        <v>257</v>
      </c>
      <c r="P127" s="10">
        <v>5.93</v>
      </c>
      <c r="Q127" s="10">
        <v>12.2</v>
      </c>
      <c r="R127" s="10">
        <v>37.6</v>
      </c>
      <c r="S127" s="10">
        <v>3456.6</v>
      </c>
      <c r="T127" s="10">
        <v>3874.32</v>
      </c>
      <c r="U127" s="11">
        <f t="shared" si="1"/>
        <v>3456.1284567350581</v>
      </c>
      <c r="V127" s="10">
        <v>65.510000000000005</v>
      </c>
      <c r="W127" s="10">
        <v>25.36</v>
      </c>
      <c r="X127" s="7">
        <v>0</v>
      </c>
    </row>
    <row r="128" spans="1:24" x14ac:dyDescent="0.25">
      <c r="A128" s="3">
        <v>2025</v>
      </c>
      <c r="B128" s="2" t="s">
        <v>260</v>
      </c>
      <c r="C128" s="6" t="s">
        <v>28</v>
      </c>
      <c r="D128" s="6" t="s">
        <v>29</v>
      </c>
      <c r="E128" s="6" t="s">
        <v>24</v>
      </c>
      <c r="F128" s="6" t="s">
        <v>324</v>
      </c>
      <c r="G128" s="6">
        <v>1104</v>
      </c>
      <c r="H128" s="6">
        <v>4</v>
      </c>
      <c r="I128" s="6">
        <v>11</v>
      </c>
      <c r="J128" s="6">
        <v>3</v>
      </c>
      <c r="K128" s="6">
        <v>17</v>
      </c>
      <c r="L128" s="6" t="s">
        <v>23</v>
      </c>
      <c r="M128" s="8" t="s">
        <v>254</v>
      </c>
      <c r="N128" s="9" t="s">
        <v>60</v>
      </c>
      <c r="O128" s="9" t="s">
        <v>258</v>
      </c>
      <c r="P128" s="10">
        <v>8.3000000000000007</v>
      </c>
      <c r="Q128" s="10">
        <v>13.3</v>
      </c>
      <c r="R128" s="10">
        <v>39.799999999999997</v>
      </c>
      <c r="S128" s="10">
        <v>4777.45</v>
      </c>
      <c r="T128" s="10">
        <v>5354.81</v>
      </c>
      <c r="U128" s="11">
        <f t="shared" si="1"/>
        <v>4776.8153434433543</v>
      </c>
      <c r="V128" s="10">
        <v>65.36</v>
      </c>
      <c r="W128" s="10">
        <v>29.81</v>
      </c>
      <c r="X128" s="7">
        <v>0</v>
      </c>
    </row>
    <row r="129" spans="1:24" x14ac:dyDescent="0.25">
      <c r="A129" s="3">
        <v>2025</v>
      </c>
      <c r="B129" s="2" t="s">
        <v>260</v>
      </c>
      <c r="C129" s="6" t="s">
        <v>28</v>
      </c>
      <c r="D129" s="6" t="s">
        <v>29</v>
      </c>
      <c r="E129" s="6" t="s">
        <v>24</v>
      </c>
      <c r="F129" s="6" t="s">
        <v>325</v>
      </c>
      <c r="G129" s="6">
        <v>1105</v>
      </c>
      <c r="H129" s="6">
        <v>5</v>
      </c>
      <c r="I129" s="6">
        <v>11</v>
      </c>
      <c r="J129" s="6">
        <v>4</v>
      </c>
      <c r="K129" s="6">
        <v>3</v>
      </c>
      <c r="L129" s="6" t="s">
        <v>23</v>
      </c>
      <c r="M129" s="8" t="s">
        <v>31</v>
      </c>
      <c r="N129" s="9" t="s">
        <v>57</v>
      </c>
      <c r="O129" s="9" t="s">
        <v>259</v>
      </c>
      <c r="P129" s="10">
        <v>7.5</v>
      </c>
      <c r="Q129" s="10">
        <v>12.5</v>
      </c>
      <c r="R129" s="10">
        <v>37.299999999999997</v>
      </c>
      <c r="S129" s="10">
        <v>4356.8100000000004</v>
      </c>
      <c r="T129" s="10">
        <v>4883.33</v>
      </c>
      <c r="U129" s="11">
        <f t="shared" si="1"/>
        <v>4356.2265834076716</v>
      </c>
      <c r="V129" s="10">
        <v>65.41</v>
      </c>
      <c r="W129" s="10">
        <v>31.09</v>
      </c>
      <c r="X129" s="7">
        <v>0</v>
      </c>
    </row>
    <row r="130" spans="1:24" x14ac:dyDescent="0.25">
      <c r="A130" s="3">
        <v>2025</v>
      </c>
      <c r="B130" s="2" t="s">
        <v>260</v>
      </c>
      <c r="C130" s="6" t="s">
        <v>28</v>
      </c>
      <c r="D130" s="6" t="s">
        <v>29</v>
      </c>
      <c r="E130" s="6" t="s">
        <v>24</v>
      </c>
      <c r="F130" s="6" t="s">
        <v>326</v>
      </c>
      <c r="G130" s="6">
        <v>1106</v>
      </c>
      <c r="H130" s="6">
        <v>6</v>
      </c>
      <c r="I130" s="6">
        <v>11</v>
      </c>
      <c r="J130" s="6">
        <v>4</v>
      </c>
      <c r="K130" s="6">
        <v>7</v>
      </c>
      <c r="L130" s="6" t="s">
        <v>23</v>
      </c>
      <c r="M130" s="8" t="s">
        <v>31</v>
      </c>
      <c r="N130" s="9" t="s">
        <v>59</v>
      </c>
      <c r="O130" s="9" t="s">
        <v>259</v>
      </c>
      <c r="P130" s="10">
        <v>8.11</v>
      </c>
      <c r="Q130" s="10">
        <v>12.9</v>
      </c>
      <c r="R130" s="10">
        <v>38.799999999999997</v>
      </c>
      <c r="S130" s="10">
        <v>4689.63</v>
      </c>
      <c r="T130" s="10">
        <v>5256.37</v>
      </c>
      <c r="U130" s="11">
        <f t="shared" si="1"/>
        <v>4689.0008920606597</v>
      </c>
      <c r="V130" s="10">
        <v>66.260000000000005</v>
      </c>
      <c r="W130" s="10">
        <v>33.630000000000003</v>
      </c>
      <c r="X130" s="7">
        <v>0</v>
      </c>
    </row>
    <row r="131" spans="1:24" x14ac:dyDescent="0.25">
      <c r="A131" s="3">
        <v>2025</v>
      </c>
      <c r="B131" s="2" t="s">
        <v>260</v>
      </c>
      <c r="C131" s="6" t="s">
        <v>28</v>
      </c>
      <c r="D131" s="6" t="s">
        <v>29</v>
      </c>
      <c r="E131" s="6" t="s">
        <v>24</v>
      </c>
      <c r="F131" s="6" t="s">
        <v>327</v>
      </c>
      <c r="G131" s="6">
        <v>1201</v>
      </c>
      <c r="H131" s="6">
        <v>1</v>
      </c>
      <c r="I131" s="6">
        <v>12</v>
      </c>
      <c r="J131" s="6">
        <v>1</v>
      </c>
      <c r="K131" s="6">
        <v>5</v>
      </c>
      <c r="L131" s="6" t="s">
        <v>23</v>
      </c>
      <c r="M131" s="8" t="s">
        <v>31</v>
      </c>
      <c r="N131" s="9" t="s">
        <v>60</v>
      </c>
      <c r="O131" s="9" t="s">
        <v>259</v>
      </c>
      <c r="P131" s="10">
        <v>6.86</v>
      </c>
      <c r="Q131" s="10">
        <v>13</v>
      </c>
      <c r="R131" s="10">
        <v>37.700000000000003</v>
      </c>
      <c r="S131" s="10">
        <v>3962.26</v>
      </c>
      <c r="T131" s="10">
        <v>4441.1000000000004</v>
      </c>
      <c r="U131" s="11">
        <f t="shared" ref="U131:U194" si="2">T131/1.121</f>
        <v>3961.7305976806424</v>
      </c>
      <c r="V131" s="10">
        <v>65.33</v>
      </c>
      <c r="W131" s="10">
        <v>30.8</v>
      </c>
      <c r="X131" s="7">
        <v>0</v>
      </c>
    </row>
    <row r="132" spans="1:24" x14ac:dyDescent="0.25">
      <c r="A132" s="3">
        <v>2025</v>
      </c>
      <c r="B132" s="2" t="s">
        <v>260</v>
      </c>
      <c r="C132" s="6" t="s">
        <v>28</v>
      </c>
      <c r="D132" s="6" t="s">
        <v>29</v>
      </c>
      <c r="E132" s="6" t="s">
        <v>24</v>
      </c>
      <c r="F132" s="6" t="s">
        <v>328</v>
      </c>
      <c r="G132" s="6">
        <v>1202</v>
      </c>
      <c r="H132" s="6">
        <v>2</v>
      </c>
      <c r="I132" s="6">
        <v>12</v>
      </c>
      <c r="J132" s="6">
        <v>2</v>
      </c>
      <c r="K132" s="6">
        <v>19</v>
      </c>
      <c r="L132" s="6" t="s">
        <v>23</v>
      </c>
      <c r="M132" s="8" t="s">
        <v>254</v>
      </c>
      <c r="N132" s="9" t="s">
        <v>59</v>
      </c>
      <c r="O132" s="9" t="s">
        <v>258</v>
      </c>
      <c r="P132" s="10">
        <v>7.02</v>
      </c>
      <c r="Q132" s="10">
        <v>12.5</v>
      </c>
      <c r="R132" s="10">
        <v>38.4</v>
      </c>
      <c r="S132" s="10">
        <v>4077.97</v>
      </c>
      <c r="T132" s="10">
        <v>4570.8</v>
      </c>
      <c r="U132" s="11">
        <f t="shared" si="2"/>
        <v>4077.4308652988407</v>
      </c>
      <c r="V132" s="10">
        <v>64.77</v>
      </c>
      <c r="W132" s="10">
        <v>32.43</v>
      </c>
      <c r="X132" s="7">
        <v>0</v>
      </c>
    </row>
    <row r="133" spans="1:24" x14ac:dyDescent="0.25">
      <c r="A133" s="3">
        <v>2025</v>
      </c>
      <c r="B133" s="2" t="s">
        <v>260</v>
      </c>
      <c r="C133" s="6" t="s">
        <v>28</v>
      </c>
      <c r="D133" s="6" t="s">
        <v>29</v>
      </c>
      <c r="E133" s="6" t="s">
        <v>24</v>
      </c>
      <c r="F133" s="6" t="s">
        <v>329</v>
      </c>
      <c r="G133" s="6">
        <v>1203</v>
      </c>
      <c r="H133" s="6">
        <v>3</v>
      </c>
      <c r="I133" s="6">
        <v>12</v>
      </c>
      <c r="J133" s="6">
        <v>2</v>
      </c>
      <c r="K133" s="6">
        <v>12</v>
      </c>
      <c r="L133" s="6" t="s">
        <v>23</v>
      </c>
      <c r="M133" s="8" t="s">
        <v>253</v>
      </c>
      <c r="N133" s="9" t="s">
        <v>62</v>
      </c>
      <c r="O133" s="9" t="s">
        <v>257</v>
      </c>
      <c r="P133" s="10">
        <v>7.24</v>
      </c>
      <c r="Q133" s="10">
        <v>12.4</v>
      </c>
      <c r="R133" s="10">
        <v>37.299999999999997</v>
      </c>
      <c r="S133" s="10">
        <v>4210.58</v>
      </c>
      <c r="T133" s="10">
        <v>4719.43</v>
      </c>
      <c r="U133" s="11">
        <f t="shared" si="2"/>
        <v>4210.0178412132027</v>
      </c>
      <c r="V133" s="10">
        <v>65.62</v>
      </c>
      <c r="W133" s="10">
        <v>31.1</v>
      </c>
      <c r="X133" s="7">
        <v>0</v>
      </c>
    </row>
    <row r="134" spans="1:24" x14ac:dyDescent="0.25">
      <c r="A134" s="3">
        <v>2025</v>
      </c>
      <c r="B134" s="2" t="s">
        <v>260</v>
      </c>
      <c r="C134" s="6" t="s">
        <v>28</v>
      </c>
      <c r="D134" s="6" t="s">
        <v>29</v>
      </c>
      <c r="E134" s="6" t="s">
        <v>24</v>
      </c>
      <c r="F134" s="6" t="s">
        <v>330</v>
      </c>
      <c r="G134" s="6">
        <v>1204</v>
      </c>
      <c r="H134" s="6">
        <v>4</v>
      </c>
      <c r="I134" s="6">
        <v>12</v>
      </c>
      <c r="J134" s="6">
        <v>3</v>
      </c>
      <c r="K134" s="6">
        <v>19</v>
      </c>
      <c r="L134" s="6" t="s">
        <v>23</v>
      </c>
      <c r="M134" s="8" t="s">
        <v>254</v>
      </c>
      <c r="N134" s="9" t="s">
        <v>59</v>
      </c>
      <c r="O134" s="9" t="s">
        <v>258</v>
      </c>
      <c r="P134" s="10">
        <v>7.45</v>
      </c>
      <c r="Q134" s="10">
        <v>13.3</v>
      </c>
      <c r="R134" s="10">
        <v>39.5</v>
      </c>
      <c r="S134" s="10">
        <v>4288.2</v>
      </c>
      <c r="T134" s="10">
        <v>4806.42</v>
      </c>
      <c r="U134" s="11">
        <f t="shared" si="2"/>
        <v>4287.6181980374668</v>
      </c>
      <c r="V134" s="10">
        <v>65.08</v>
      </c>
      <c r="W134" s="10">
        <v>31.54</v>
      </c>
      <c r="X134" s="7">
        <v>0</v>
      </c>
    </row>
    <row r="135" spans="1:24" x14ac:dyDescent="0.25">
      <c r="A135" s="3">
        <v>2025</v>
      </c>
      <c r="B135" s="2" t="s">
        <v>260</v>
      </c>
      <c r="C135" s="6" t="s">
        <v>28</v>
      </c>
      <c r="D135" s="6" t="s">
        <v>29</v>
      </c>
      <c r="E135" s="6" t="s">
        <v>24</v>
      </c>
      <c r="F135" s="6" t="s">
        <v>331</v>
      </c>
      <c r="G135" s="6">
        <v>1205</v>
      </c>
      <c r="H135" s="6">
        <v>5</v>
      </c>
      <c r="I135" s="6">
        <v>12</v>
      </c>
      <c r="J135" s="6">
        <v>4</v>
      </c>
      <c r="K135" s="6">
        <v>16</v>
      </c>
      <c r="L135" s="6" t="s">
        <v>23</v>
      </c>
      <c r="M135" s="8" t="s">
        <v>254</v>
      </c>
      <c r="N135" s="9" t="s">
        <v>58</v>
      </c>
      <c r="O135" s="9" t="s">
        <v>258</v>
      </c>
      <c r="P135" s="10">
        <v>7.86</v>
      </c>
      <c r="Q135" s="10">
        <v>12.6</v>
      </c>
      <c r="R135" s="10">
        <v>38.1</v>
      </c>
      <c r="S135" s="10">
        <v>4560.72</v>
      </c>
      <c r="T135" s="10">
        <v>5111.88</v>
      </c>
      <c r="U135" s="11">
        <f t="shared" si="2"/>
        <v>4560.1070472792153</v>
      </c>
      <c r="V135" s="10">
        <v>66.48</v>
      </c>
      <c r="W135" s="10">
        <v>32.15</v>
      </c>
      <c r="X135" s="7">
        <v>0</v>
      </c>
    </row>
    <row r="136" spans="1:24" x14ac:dyDescent="0.25">
      <c r="A136" s="3">
        <v>2025</v>
      </c>
      <c r="B136" s="2" t="s">
        <v>260</v>
      </c>
      <c r="C136" s="6" t="s">
        <v>28</v>
      </c>
      <c r="D136" s="6" t="s">
        <v>29</v>
      </c>
      <c r="E136" s="6" t="s">
        <v>24</v>
      </c>
      <c r="F136" s="6" t="s">
        <v>332</v>
      </c>
      <c r="G136" s="6">
        <v>1206</v>
      </c>
      <c r="H136" s="6">
        <v>6</v>
      </c>
      <c r="I136" s="6">
        <v>12</v>
      </c>
      <c r="J136" s="6">
        <v>4</v>
      </c>
      <c r="K136" s="6">
        <v>6</v>
      </c>
      <c r="L136" s="6" t="s">
        <v>23</v>
      </c>
      <c r="M136" s="8" t="s">
        <v>31</v>
      </c>
      <c r="N136" s="9" t="s">
        <v>62</v>
      </c>
      <c r="O136" s="9" t="s">
        <v>259</v>
      </c>
      <c r="P136" s="10">
        <v>8.02</v>
      </c>
      <c r="Q136" s="10">
        <v>13.2</v>
      </c>
      <c r="R136" s="10">
        <v>38.5</v>
      </c>
      <c r="S136" s="10">
        <v>4621.6099999999997</v>
      </c>
      <c r="T136" s="10">
        <v>5180.13</v>
      </c>
      <c r="U136" s="11">
        <f t="shared" si="2"/>
        <v>4620.990187332739</v>
      </c>
      <c r="V136" s="10">
        <v>64.59</v>
      </c>
      <c r="W136" s="10">
        <v>30.46</v>
      </c>
      <c r="X136" s="7">
        <v>0</v>
      </c>
    </row>
    <row r="137" spans="1:24" x14ac:dyDescent="0.25">
      <c r="A137" s="3">
        <v>2025</v>
      </c>
      <c r="B137" s="2" t="s">
        <v>260</v>
      </c>
      <c r="C137" s="6" t="s">
        <v>28</v>
      </c>
      <c r="D137" s="6" t="s">
        <v>29</v>
      </c>
      <c r="E137" s="6" t="s">
        <v>24</v>
      </c>
      <c r="F137" s="6" t="s">
        <v>333</v>
      </c>
      <c r="G137" s="6">
        <v>1301</v>
      </c>
      <c r="H137" s="6">
        <v>1</v>
      </c>
      <c r="I137" s="6">
        <v>13</v>
      </c>
      <c r="J137" s="6">
        <v>1</v>
      </c>
      <c r="K137" s="6">
        <v>8</v>
      </c>
      <c r="L137" s="6" t="s">
        <v>23</v>
      </c>
      <c r="M137" s="8" t="s">
        <v>31</v>
      </c>
      <c r="N137" s="9" t="s">
        <v>61</v>
      </c>
      <c r="O137" s="9" t="s">
        <v>259</v>
      </c>
      <c r="P137" s="10">
        <v>6.04</v>
      </c>
      <c r="Q137" s="10">
        <v>13.1</v>
      </c>
      <c r="R137" s="10">
        <v>37.200000000000003</v>
      </c>
      <c r="S137" s="10">
        <v>3484.62</v>
      </c>
      <c r="T137" s="10">
        <v>3905.74</v>
      </c>
      <c r="U137" s="11">
        <f t="shared" si="2"/>
        <v>3484.1570026761819</v>
      </c>
      <c r="V137" s="10">
        <v>65.69</v>
      </c>
      <c r="W137" s="10">
        <v>31.54</v>
      </c>
      <c r="X137" s="7">
        <v>0</v>
      </c>
    </row>
    <row r="138" spans="1:24" x14ac:dyDescent="0.25">
      <c r="A138" s="3">
        <v>2025</v>
      </c>
      <c r="B138" s="2" t="s">
        <v>260</v>
      </c>
      <c r="C138" s="6" t="s">
        <v>28</v>
      </c>
      <c r="D138" s="6" t="s">
        <v>29</v>
      </c>
      <c r="E138" s="6" t="s">
        <v>24</v>
      </c>
      <c r="F138" s="6" t="s">
        <v>334</v>
      </c>
      <c r="G138" s="6">
        <v>1302</v>
      </c>
      <c r="H138" s="6">
        <v>2</v>
      </c>
      <c r="I138" s="6">
        <v>13</v>
      </c>
      <c r="J138" s="6">
        <v>2</v>
      </c>
      <c r="K138" s="6">
        <v>16</v>
      </c>
      <c r="L138" s="6" t="s">
        <v>23</v>
      </c>
      <c r="M138" s="8" t="s">
        <v>254</v>
      </c>
      <c r="N138" s="9" t="s">
        <v>58</v>
      </c>
      <c r="O138" s="9" t="s">
        <v>258</v>
      </c>
      <c r="P138" s="10">
        <v>6.66</v>
      </c>
      <c r="Q138" s="10">
        <v>13</v>
      </c>
      <c r="R138" s="10">
        <v>39.6</v>
      </c>
      <c r="S138" s="10">
        <v>3846.74</v>
      </c>
      <c r="T138" s="10">
        <v>4311.62</v>
      </c>
      <c r="U138" s="11">
        <f t="shared" si="2"/>
        <v>3846.2265834076716</v>
      </c>
      <c r="V138" s="10">
        <v>64.84</v>
      </c>
      <c r="W138" s="10">
        <v>27.3</v>
      </c>
      <c r="X138" s="7">
        <v>0</v>
      </c>
    </row>
    <row r="139" spans="1:24" x14ac:dyDescent="0.25">
      <c r="A139" s="3">
        <v>2025</v>
      </c>
      <c r="B139" s="2" t="s">
        <v>260</v>
      </c>
      <c r="C139" s="6" t="s">
        <v>28</v>
      </c>
      <c r="D139" s="6" t="s">
        <v>29</v>
      </c>
      <c r="E139" s="6" t="s">
        <v>24</v>
      </c>
      <c r="F139" s="6" t="s">
        <v>335</v>
      </c>
      <c r="G139" s="6">
        <v>1303</v>
      </c>
      <c r="H139" s="6">
        <v>3</v>
      </c>
      <c r="I139" s="6">
        <v>13</v>
      </c>
      <c r="J139" s="6">
        <v>2</v>
      </c>
      <c r="K139" s="6">
        <v>11</v>
      </c>
      <c r="L139" s="6" t="s">
        <v>23</v>
      </c>
      <c r="M139" s="8" t="s">
        <v>253</v>
      </c>
      <c r="N139" s="9" t="s">
        <v>60</v>
      </c>
      <c r="O139" s="9" t="s">
        <v>257</v>
      </c>
      <c r="P139" s="10">
        <v>5.95</v>
      </c>
      <c r="Q139" s="10">
        <v>11.8</v>
      </c>
      <c r="R139" s="10">
        <v>36.299999999999997</v>
      </c>
      <c r="S139" s="10">
        <v>3484.05</v>
      </c>
      <c r="T139" s="10">
        <v>3905.1</v>
      </c>
      <c r="U139" s="11">
        <f t="shared" si="2"/>
        <v>3483.5860838537019</v>
      </c>
      <c r="V139" s="10">
        <v>63.63</v>
      </c>
      <c r="W139" s="10">
        <v>24.52</v>
      </c>
      <c r="X139" s="7">
        <v>0</v>
      </c>
    </row>
    <row r="140" spans="1:24" x14ac:dyDescent="0.25">
      <c r="A140" s="3">
        <v>2025</v>
      </c>
      <c r="B140" s="2" t="s">
        <v>260</v>
      </c>
      <c r="C140" s="6" t="s">
        <v>28</v>
      </c>
      <c r="D140" s="6" t="s">
        <v>29</v>
      </c>
      <c r="E140" s="6" t="s">
        <v>24</v>
      </c>
      <c r="F140" s="6" t="s">
        <v>336</v>
      </c>
      <c r="G140" s="6">
        <v>1304</v>
      </c>
      <c r="H140" s="6">
        <v>4</v>
      </c>
      <c r="I140" s="6">
        <v>13</v>
      </c>
      <c r="J140" s="6">
        <v>3</v>
      </c>
      <c r="K140" s="6">
        <v>10</v>
      </c>
      <c r="L140" s="6" t="s">
        <v>23</v>
      </c>
      <c r="M140" s="8" t="s">
        <v>253</v>
      </c>
      <c r="N140" s="9" t="s">
        <v>58</v>
      </c>
      <c r="O140" s="9" t="s">
        <v>257</v>
      </c>
      <c r="P140" s="10">
        <v>7.58</v>
      </c>
      <c r="Q140" s="10">
        <v>13.8</v>
      </c>
      <c r="R140" s="10">
        <v>40.9</v>
      </c>
      <c r="S140" s="10">
        <v>4337.8599999999997</v>
      </c>
      <c r="T140" s="10">
        <v>4862.09</v>
      </c>
      <c r="U140" s="11">
        <f t="shared" si="2"/>
        <v>4337.2792149866191</v>
      </c>
      <c r="V140" s="10">
        <v>63.68</v>
      </c>
      <c r="W140" s="10">
        <v>25.14</v>
      </c>
      <c r="X140" s="7">
        <v>0</v>
      </c>
    </row>
    <row r="141" spans="1:24" x14ac:dyDescent="0.25">
      <c r="A141" s="3">
        <v>2025</v>
      </c>
      <c r="B141" s="2" t="s">
        <v>260</v>
      </c>
      <c r="C141" s="6" t="s">
        <v>28</v>
      </c>
      <c r="D141" s="6" t="s">
        <v>29</v>
      </c>
      <c r="E141" s="6" t="s">
        <v>24</v>
      </c>
      <c r="F141" s="6" t="s">
        <v>337</v>
      </c>
      <c r="G141" s="6">
        <v>1305</v>
      </c>
      <c r="H141" s="6">
        <v>5</v>
      </c>
      <c r="I141" s="6">
        <v>13</v>
      </c>
      <c r="J141" s="6">
        <v>4</v>
      </c>
      <c r="K141" s="6">
        <v>20</v>
      </c>
      <c r="L141" s="6" t="s">
        <v>23</v>
      </c>
      <c r="M141" s="8" t="s">
        <v>254</v>
      </c>
      <c r="N141" s="9" t="s">
        <v>61</v>
      </c>
      <c r="O141" s="9" t="s">
        <v>258</v>
      </c>
      <c r="P141" s="10">
        <v>6.89</v>
      </c>
      <c r="Q141" s="10">
        <v>12.7</v>
      </c>
      <c r="R141" s="10">
        <v>37.1</v>
      </c>
      <c r="S141" s="10">
        <v>3993.31</v>
      </c>
      <c r="T141" s="10">
        <v>4475.8999999999996</v>
      </c>
      <c r="U141" s="11">
        <f t="shared" si="2"/>
        <v>3992.7743086529881</v>
      </c>
      <c r="V141" s="10">
        <v>65.31</v>
      </c>
      <c r="W141" s="10">
        <v>31.51</v>
      </c>
      <c r="X141" s="7">
        <v>0</v>
      </c>
    </row>
    <row r="142" spans="1:24" x14ac:dyDescent="0.25">
      <c r="A142" s="3">
        <v>2025</v>
      </c>
      <c r="B142" s="2" t="s">
        <v>260</v>
      </c>
      <c r="C142" s="6" t="s">
        <v>28</v>
      </c>
      <c r="D142" s="6" t="s">
        <v>29</v>
      </c>
      <c r="E142" s="6" t="s">
        <v>24</v>
      </c>
      <c r="F142" s="6" t="s">
        <v>338</v>
      </c>
      <c r="G142" s="6">
        <v>1306</v>
      </c>
      <c r="H142" s="6">
        <v>6</v>
      </c>
      <c r="I142" s="6">
        <v>13</v>
      </c>
      <c r="J142" s="6">
        <v>4</v>
      </c>
      <c r="K142" s="6">
        <v>21</v>
      </c>
      <c r="L142" s="6" t="s">
        <v>23</v>
      </c>
      <c r="M142" s="8" t="s">
        <v>255</v>
      </c>
      <c r="N142" s="9" t="s">
        <v>58</v>
      </c>
      <c r="O142" s="9" t="s">
        <v>255</v>
      </c>
      <c r="P142" s="10">
        <v>8.0500000000000007</v>
      </c>
      <c r="Q142" s="10">
        <v>13.2</v>
      </c>
      <c r="R142" s="10">
        <v>40.4</v>
      </c>
      <c r="S142" s="10">
        <v>4638.8999999999996</v>
      </c>
      <c r="T142" s="10">
        <v>5199.51</v>
      </c>
      <c r="U142" s="11">
        <f t="shared" si="2"/>
        <v>4638.2783229259594</v>
      </c>
      <c r="V142" s="10">
        <v>65</v>
      </c>
      <c r="W142" s="10">
        <v>30.38</v>
      </c>
      <c r="X142" s="7">
        <v>0</v>
      </c>
    </row>
    <row r="143" spans="1:24" x14ac:dyDescent="0.25">
      <c r="A143" s="3">
        <v>2025</v>
      </c>
      <c r="B143" s="2" t="s">
        <v>260</v>
      </c>
      <c r="C143" s="6" t="s">
        <v>28</v>
      </c>
      <c r="D143" s="6" t="s">
        <v>29</v>
      </c>
      <c r="E143" s="6" t="s">
        <v>24</v>
      </c>
      <c r="F143" s="6" t="s">
        <v>339</v>
      </c>
      <c r="G143" s="6">
        <v>1401</v>
      </c>
      <c r="H143" s="6">
        <v>1</v>
      </c>
      <c r="I143" s="6">
        <v>14</v>
      </c>
      <c r="J143" s="6">
        <v>1</v>
      </c>
      <c r="K143" s="6">
        <v>3</v>
      </c>
      <c r="L143" s="6" t="s">
        <v>23</v>
      </c>
      <c r="M143" s="8" t="s">
        <v>31</v>
      </c>
      <c r="N143" s="9" t="s">
        <v>57</v>
      </c>
      <c r="O143" s="9" t="s">
        <v>259</v>
      </c>
      <c r="P143" s="10">
        <v>5.61</v>
      </c>
      <c r="Q143" s="10">
        <v>12.7</v>
      </c>
      <c r="R143" s="10">
        <v>35.700000000000003</v>
      </c>
      <c r="S143" s="10">
        <v>3251.44</v>
      </c>
      <c r="T143" s="10">
        <v>3644.38</v>
      </c>
      <c r="U143" s="11">
        <f t="shared" si="2"/>
        <v>3251.0080285459412</v>
      </c>
      <c r="V143" s="10">
        <v>63.6</v>
      </c>
      <c r="W143" s="10">
        <v>29.13</v>
      </c>
      <c r="X143" s="7">
        <v>0</v>
      </c>
    </row>
    <row r="144" spans="1:24" x14ac:dyDescent="0.25">
      <c r="A144" s="3">
        <v>2025</v>
      </c>
      <c r="B144" s="2" t="s">
        <v>260</v>
      </c>
      <c r="C144" s="6" t="s">
        <v>28</v>
      </c>
      <c r="D144" s="6" t="s">
        <v>29</v>
      </c>
      <c r="E144" s="6" t="s">
        <v>24</v>
      </c>
      <c r="F144" s="6" t="s">
        <v>340</v>
      </c>
      <c r="G144" s="6">
        <v>1402</v>
      </c>
      <c r="H144" s="6">
        <v>2</v>
      </c>
      <c r="I144" s="6">
        <v>14</v>
      </c>
      <c r="J144" s="6">
        <v>2</v>
      </c>
      <c r="K144" s="6">
        <v>6</v>
      </c>
      <c r="L144" s="6" t="s">
        <v>23</v>
      </c>
      <c r="M144" s="8" t="s">
        <v>31</v>
      </c>
      <c r="N144" s="9" t="s">
        <v>62</v>
      </c>
      <c r="O144" s="9" t="s">
        <v>259</v>
      </c>
      <c r="P144" s="10">
        <v>6.1</v>
      </c>
      <c r="Q144" s="10">
        <v>12.8</v>
      </c>
      <c r="R144" s="10">
        <v>39.5</v>
      </c>
      <c r="S144" s="10">
        <v>3531.39</v>
      </c>
      <c r="T144" s="10">
        <v>3958.16</v>
      </c>
      <c r="U144" s="11">
        <f t="shared" si="2"/>
        <v>3530.9188224799286</v>
      </c>
      <c r="V144" s="10">
        <v>62.71</v>
      </c>
      <c r="W144" s="10">
        <v>26.48</v>
      </c>
      <c r="X144" s="7">
        <v>0</v>
      </c>
    </row>
    <row r="145" spans="1:24" x14ac:dyDescent="0.25">
      <c r="A145" s="3">
        <v>2025</v>
      </c>
      <c r="B145" s="2" t="s">
        <v>260</v>
      </c>
      <c r="C145" s="6" t="s">
        <v>28</v>
      </c>
      <c r="D145" s="6" t="s">
        <v>29</v>
      </c>
      <c r="E145" s="6" t="s">
        <v>24</v>
      </c>
      <c r="F145" s="6" t="s">
        <v>341</v>
      </c>
      <c r="G145" s="6">
        <v>1403</v>
      </c>
      <c r="H145" s="6">
        <v>3</v>
      </c>
      <c r="I145" s="6">
        <v>14</v>
      </c>
      <c r="J145" s="6">
        <v>2</v>
      </c>
      <c r="K145" s="6">
        <v>3</v>
      </c>
      <c r="L145" s="6" t="s">
        <v>23</v>
      </c>
      <c r="M145" s="8" t="s">
        <v>31</v>
      </c>
      <c r="N145" s="9" t="s">
        <v>57</v>
      </c>
      <c r="O145" s="9" t="s">
        <v>259</v>
      </c>
      <c r="P145" s="10">
        <v>6.17</v>
      </c>
      <c r="Q145" s="10">
        <v>11.9</v>
      </c>
      <c r="R145" s="10">
        <v>36.6</v>
      </c>
      <c r="S145" s="10">
        <v>3608.78</v>
      </c>
      <c r="T145" s="10">
        <v>4044.9</v>
      </c>
      <c r="U145" s="11">
        <f t="shared" si="2"/>
        <v>3608.2961641391616</v>
      </c>
      <c r="V145" s="10">
        <v>64.599999999999994</v>
      </c>
      <c r="W145" s="10">
        <v>28.85</v>
      </c>
      <c r="X145" s="7">
        <v>0</v>
      </c>
    </row>
    <row r="146" spans="1:24" x14ac:dyDescent="0.25">
      <c r="A146" s="3">
        <v>2025</v>
      </c>
      <c r="B146" s="2" t="s">
        <v>260</v>
      </c>
      <c r="C146" s="6" t="s">
        <v>28</v>
      </c>
      <c r="D146" s="6" t="s">
        <v>29</v>
      </c>
      <c r="E146" s="6" t="s">
        <v>24</v>
      </c>
      <c r="F146" s="6" t="s">
        <v>342</v>
      </c>
      <c r="G146" s="6">
        <v>1404</v>
      </c>
      <c r="H146" s="6">
        <v>4</v>
      </c>
      <c r="I146" s="6">
        <v>14</v>
      </c>
      <c r="J146" s="6">
        <v>3</v>
      </c>
      <c r="K146" s="6">
        <v>2</v>
      </c>
      <c r="L146" s="6" t="s">
        <v>23</v>
      </c>
      <c r="M146" s="8" t="s">
        <v>469</v>
      </c>
      <c r="N146" s="8" t="s">
        <v>469</v>
      </c>
      <c r="O146" s="8" t="s">
        <v>469</v>
      </c>
      <c r="P146" s="10">
        <v>6.61</v>
      </c>
      <c r="Q146" s="10">
        <v>13.5</v>
      </c>
      <c r="R146" s="10">
        <v>40.4</v>
      </c>
      <c r="S146" s="10">
        <v>3795.92</v>
      </c>
      <c r="T146" s="10">
        <v>4254.66</v>
      </c>
      <c r="U146" s="11">
        <f t="shared" si="2"/>
        <v>3795.4148082069578</v>
      </c>
      <c r="V146" s="10">
        <v>64</v>
      </c>
      <c r="W146" s="10">
        <v>25.12</v>
      </c>
      <c r="X146" s="7">
        <v>0</v>
      </c>
    </row>
    <row r="147" spans="1:24" x14ac:dyDescent="0.25">
      <c r="A147" s="3">
        <v>2025</v>
      </c>
      <c r="B147" s="2" t="s">
        <v>260</v>
      </c>
      <c r="C147" s="6" t="s">
        <v>28</v>
      </c>
      <c r="D147" s="6" t="s">
        <v>29</v>
      </c>
      <c r="E147" s="6" t="s">
        <v>24</v>
      </c>
      <c r="F147" s="6" t="s">
        <v>343</v>
      </c>
      <c r="G147" s="6">
        <v>1405</v>
      </c>
      <c r="H147" s="6">
        <v>5</v>
      </c>
      <c r="I147" s="6">
        <v>14</v>
      </c>
      <c r="J147" s="6">
        <v>4</v>
      </c>
      <c r="K147" s="6">
        <v>14</v>
      </c>
      <c r="L147" s="6" t="s">
        <v>23</v>
      </c>
      <c r="M147" s="8" t="s">
        <v>253</v>
      </c>
      <c r="N147" s="9" t="s">
        <v>61</v>
      </c>
      <c r="O147" s="9" t="s">
        <v>257</v>
      </c>
      <c r="P147" s="10">
        <v>6.48</v>
      </c>
      <c r="Q147" s="10">
        <v>12.6</v>
      </c>
      <c r="R147" s="10">
        <v>36.799999999999997</v>
      </c>
      <c r="S147" s="10">
        <v>3759.98</v>
      </c>
      <c r="T147" s="10">
        <v>4214.38</v>
      </c>
      <c r="U147" s="11">
        <f t="shared" si="2"/>
        <v>3759.4826048171276</v>
      </c>
      <c r="V147" s="10">
        <v>65.5</v>
      </c>
      <c r="W147" s="10">
        <v>33.43</v>
      </c>
      <c r="X147" s="7">
        <v>0</v>
      </c>
    </row>
    <row r="148" spans="1:24" x14ac:dyDescent="0.25">
      <c r="A148" s="3">
        <v>2025</v>
      </c>
      <c r="B148" s="2" t="s">
        <v>260</v>
      </c>
      <c r="C148" s="6" t="s">
        <v>28</v>
      </c>
      <c r="D148" s="6" t="s">
        <v>29</v>
      </c>
      <c r="E148" s="6" t="s">
        <v>24</v>
      </c>
      <c r="F148" s="6" t="s">
        <v>344</v>
      </c>
      <c r="G148" s="6">
        <v>1406</v>
      </c>
      <c r="H148" s="6">
        <v>6</v>
      </c>
      <c r="I148" s="6">
        <v>14</v>
      </c>
      <c r="J148" s="6">
        <v>4</v>
      </c>
      <c r="K148" s="6">
        <v>12</v>
      </c>
      <c r="L148" s="6" t="s">
        <v>23</v>
      </c>
      <c r="M148" s="8" t="s">
        <v>253</v>
      </c>
      <c r="N148" s="9" t="s">
        <v>62</v>
      </c>
      <c r="O148" s="9" t="s">
        <v>257</v>
      </c>
      <c r="P148" s="10">
        <v>5.99</v>
      </c>
      <c r="Q148" s="10">
        <v>13.1</v>
      </c>
      <c r="R148" s="10">
        <v>39</v>
      </c>
      <c r="S148" s="10">
        <v>3455.78</v>
      </c>
      <c r="T148" s="10">
        <v>3873.41</v>
      </c>
      <c r="U148" s="11">
        <f t="shared" si="2"/>
        <v>3455.3166815343443</v>
      </c>
      <c r="V148" s="10">
        <v>65.61</v>
      </c>
      <c r="W148" s="10">
        <v>31.35</v>
      </c>
      <c r="X148" s="7">
        <v>0</v>
      </c>
    </row>
    <row r="149" spans="1:24" hidden="1" x14ac:dyDescent="0.25">
      <c r="A149" s="3">
        <v>2025</v>
      </c>
      <c r="B149" s="2" t="s">
        <v>345</v>
      </c>
      <c r="C149" s="6" t="s">
        <v>64</v>
      </c>
      <c r="D149" s="6" t="s">
        <v>65</v>
      </c>
      <c r="E149" s="6" t="s">
        <v>25</v>
      </c>
      <c r="F149" s="7" t="s">
        <v>346</v>
      </c>
      <c r="G149" s="7">
        <v>101</v>
      </c>
      <c r="H149" s="6">
        <v>1</v>
      </c>
      <c r="I149" s="7">
        <v>1</v>
      </c>
      <c r="J149" s="6">
        <v>1</v>
      </c>
      <c r="K149" s="6">
        <v>18</v>
      </c>
      <c r="L149" s="7" t="s">
        <v>252</v>
      </c>
      <c r="M149" s="8" t="s">
        <v>254</v>
      </c>
      <c r="N149" s="9" t="s">
        <v>62</v>
      </c>
      <c r="O149" s="9" t="s">
        <v>258</v>
      </c>
      <c r="P149" s="10">
        <v>6.8</v>
      </c>
      <c r="Q149" s="10">
        <v>11.8</v>
      </c>
      <c r="R149" s="10">
        <v>35.700000000000003</v>
      </c>
      <c r="S149" s="10">
        <v>3981.78</v>
      </c>
      <c r="T149" s="10">
        <v>4462.97</v>
      </c>
      <c r="U149" s="11">
        <f t="shared" si="2"/>
        <v>3981.239964317574</v>
      </c>
      <c r="V149" s="10">
        <v>70.86</v>
      </c>
      <c r="W149" s="10">
        <v>46.26</v>
      </c>
      <c r="X149" s="7">
        <v>1</v>
      </c>
    </row>
    <row r="150" spans="1:24" hidden="1" x14ac:dyDescent="0.25">
      <c r="A150" s="3">
        <v>2025</v>
      </c>
      <c r="B150" s="2" t="s">
        <v>345</v>
      </c>
      <c r="C150" s="6" t="s">
        <v>64</v>
      </c>
      <c r="D150" s="6" t="s">
        <v>65</v>
      </c>
      <c r="E150" s="6" t="s">
        <v>25</v>
      </c>
      <c r="F150" s="7" t="s">
        <v>347</v>
      </c>
      <c r="G150" s="7">
        <v>102</v>
      </c>
      <c r="H150" s="6">
        <v>2</v>
      </c>
      <c r="I150" s="7">
        <v>1</v>
      </c>
      <c r="J150" s="6">
        <v>1</v>
      </c>
      <c r="K150" s="6">
        <v>19</v>
      </c>
      <c r="L150" s="7" t="s">
        <v>252</v>
      </c>
      <c r="M150" s="8" t="s">
        <v>254</v>
      </c>
      <c r="N150" s="9" t="s">
        <v>59</v>
      </c>
      <c r="O150" s="9" t="s">
        <v>258</v>
      </c>
      <c r="P150" s="10">
        <v>6.85</v>
      </c>
      <c r="Q150" s="10">
        <v>10.1</v>
      </c>
      <c r="R150" s="10">
        <v>32</v>
      </c>
      <c r="S150" s="10">
        <v>4088.36</v>
      </c>
      <c r="T150" s="10">
        <v>4582.4399999999996</v>
      </c>
      <c r="U150" s="11">
        <f t="shared" si="2"/>
        <v>4087.8144513826937</v>
      </c>
      <c r="V150" s="10">
        <v>70.48</v>
      </c>
      <c r="W150" s="10">
        <v>45.25</v>
      </c>
      <c r="X150" s="7">
        <v>2</v>
      </c>
    </row>
    <row r="151" spans="1:24" hidden="1" x14ac:dyDescent="0.25">
      <c r="A151" s="3">
        <v>2025</v>
      </c>
      <c r="B151" s="2" t="s">
        <v>345</v>
      </c>
      <c r="C151" s="6" t="s">
        <v>64</v>
      </c>
      <c r="D151" s="6" t="s">
        <v>65</v>
      </c>
      <c r="E151" s="6" t="s">
        <v>25</v>
      </c>
      <c r="F151" s="7" t="s">
        <v>348</v>
      </c>
      <c r="G151" s="7">
        <v>103</v>
      </c>
      <c r="H151" s="6">
        <v>3</v>
      </c>
      <c r="I151" s="7">
        <v>1</v>
      </c>
      <c r="J151" s="6">
        <v>1</v>
      </c>
      <c r="K151" s="6">
        <v>10</v>
      </c>
      <c r="L151" s="7" t="s">
        <v>252</v>
      </c>
      <c r="M151" s="8" t="s">
        <v>253</v>
      </c>
      <c r="N151" s="9" t="s">
        <v>58</v>
      </c>
      <c r="O151" s="9" t="s">
        <v>257</v>
      </c>
      <c r="P151" s="10">
        <v>7.66</v>
      </c>
      <c r="Q151" s="10">
        <v>12.1</v>
      </c>
      <c r="R151" s="10">
        <v>39.5</v>
      </c>
      <c r="S151" s="10">
        <v>4470.1000000000004</v>
      </c>
      <c r="T151" s="10">
        <v>5010.3100000000004</v>
      </c>
      <c r="U151" s="11">
        <f t="shared" si="2"/>
        <v>4469.5004460303307</v>
      </c>
      <c r="V151" s="10">
        <v>71.36</v>
      </c>
      <c r="W151" s="10">
        <v>40.71</v>
      </c>
      <c r="X151" s="7">
        <v>2</v>
      </c>
    </row>
    <row r="152" spans="1:24" hidden="1" x14ac:dyDescent="0.25">
      <c r="A152" s="3">
        <v>2025</v>
      </c>
      <c r="B152" s="2" t="s">
        <v>345</v>
      </c>
      <c r="C152" s="6" t="s">
        <v>64</v>
      </c>
      <c r="D152" s="6" t="s">
        <v>65</v>
      </c>
      <c r="E152" s="6" t="s">
        <v>25</v>
      </c>
      <c r="F152" s="7" t="s">
        <v>349</v>
      </c>
      <c r="G152" s="7">
        <v>104</v>
      </c>
      <c r="H152" s="6">
        <v>4</v>
      </c>
      <c r="I152" s="7">
        <v>1</v>
      </c>
      <c r="J152" s="6">
        <v>1</v>
      </c>
      <c r="K152" s="6">
        <v>13</v>
      </c>
      <c r="L152" s="7" t="s">
        <v>252</v>
      </c>
      <c r="M152" s="8" t="s">
        <v>253</v>
      </c>
      <c r="N152" s="9" t="s">
        <v>59</v>
      </c>
      <c r="O152" s="9" t="s">
        <v>257</v>
      </c>
      <c r="P152" s="10">
        <v>6.15</v>
      </c>
      <c r="Q152" s="10">
        <v>10.7</v>
      </c>
      <c r="R152" s="10">
        <v>33.299999999999997</v>
      </c>
      <c r="S152" s="10">
        <v>3646.08</v>
      </c>
      <c r="T152" s="10">
        <v>4086.71</v>
      </c>
      <c r="U152" s="11">
        <f t="shared" si="2"/>
        <v>3645.593220338983</v>
      </c>
      <c r="V152" s="10">
        <v>70.88</v>
      </c>
      <c r="W152" s="10">
        <v>43.01</v>
      </c>
      <c r="X152" s="7">
        <v>2</v>
      </c>
    </row>
    <row r="153" spans="1:24" hidden="1" x14ac:dyDescent="0.25">
      <c r="A153" s="3">
        <v>2025</v>
      </c>
      <c r="B153" s="2" t="s">
        <v>345</v>
      </c>
      <c r="C153" s="6" t="s">
        <v>64</v>
      </c>
      <c r="D153" s="6" t="s">
        <v>65</v>
      </c>
      <c r="E153" s="6" t="s">
        <v>25</v>
      </c>
      <c r="F153" s="7" t="s">
        <v>350</v>
      </c>
      <c r="G153" s="7">
        <v>105</v>
      </c>
      <c r="H153" s="6">
        <v>5</v>
      </c>
      <c r="I153" s="7">
        <v>1</v>
      </c>
      <c r="J153" s="6">
        <v>2</v>
      </c>
      <c r="K153" s="6">
        <v>3</v>
      </c>
      <c r="L153" s="7" t="s">
        <v>252</v>
      </c>
      <c r="M153" s="8" t="s">
        <v>31</v>
      </c>
      <c r="N153" s="9" t="s">
        <v>57</v>
      </c>
      <c r="O153" s="9" t="s">
        <v>259</v>
      </c>
      <c r="P153" s="10">
        <v>6.23</v>
      </c>
      <c r="Q153" s="10">
        <v>11.9</v>
      </c>
      <c r="R153" s="10">
        <v>37.700000000000003</v>
      </c>
      <c r="S153" s="10">
        <v>3643.87</v>
      </c>
      <c r="T153" s="10">
        <v>4084.24</v>
      </c>
      <c r="U153" s="11">
        <f t="shared" si="2"/>
        <v>3643.3898305084745</v>
      </c>
      <c r="V153" s="10">
        <v>72.5</v>
      </c>
      <c r="W153" s="10">
        <v>44.05</v>
      </c>
      <c r="X153" s="7">
        <v>2</v>
      </c>
    </row>
    <row r="154" spans="1:24" hidden="1" x14ac:dyDescent="0.25">
      <c r="A154" s="3">
        <v>2025</v>
      </c>
      <c r="B154" s="2" t="s">
        <v>345</v>
      </c>
      <c r="C154" s="6" t="s">
        <v>64</v>
      </c>
      <c r="D154" s="6" t="s">
        <v>65</v>
      </c>
      <c r="E154" s="6" t="s">
        <v>25</v>
      </c>
      <c r="F154" s="7" t="s">
        <v>351</v>
      </c>
      <c r="G154" s="7">
        <v>106</v>
      </c>
      <c r="H154" s="6">
        <v>6</v>
      </c>
      <c r="I154" s="7">
        <v>1</v>
      </c>
      <c r="J154" s="6">
        <v>2</v>
      </c>
      <c r="K154" s="6">
        <v>8</v>
      </c>
      <c r="L154" s="7" t="s">
        <v>252</v>
      </c>
      <c r="M154" s="8" t="s">
        <v>31</v>
      </c>
      <c r="N154" s="9" t="s">
        <v>61</v>
      </c>
      <c r="O154" s="9" t="s">
        <v>259</v>
      </c>
      <c r="P154" s="10">
        <v>6.49</v>
      </c>
      <c r="Q154" s="10">
        <v>10.7</v>
      </c>
      <c r="R154" s="10">
        <v>32.1</v>
      </c>
      <c r="S154" s="10">
        <v>3847.65</v>
      </c>
      <c r="T154" s="10">
        <v>4312.6400000000003</v>
      </c>
      <c r="U154" s="11">
        <f t="shared" si="2"/>
        <v>3847.1364852809993</v>
      </c>
      <c r="V154" s="10">
        <v>71.540000000000006</v>
      </c>
      <c r="W154" s="10">
        <v>42.9</v>
      </c>
      <c r="X154" s="7">
        <v>2</v>
      </c>
    </row>
    <row r="155" spans="1:24" hidden="1" x14ac:dyDescent="0.25">
      <c r="A155" s="3">
        <v>2025</v>
      </c>
      <c r="B155" s="2" t="s">
        <v>345</v>
      </c>
      <c r="C155" s="6" t="s">
        <v>64</v>
      </c>
      <c r="D155" s="6" t="s">
        <v>65</v>
      </c>
      <c r="E155" s="6" t="s">
        <v>25</v>
      </c>
      <c r="F155" s="7" t="s">
        <v>352</v>
      </c>
      <c r="G155" s="7">
        <v>107</v>
      </c>
      <c r="H155" s="6">
        <v>7</v>
      </c>
      <c r="I155" s="7">
        <v>1</v>
      </c>
      <c r="J155" s="6">
        <v>2</v>
      </c>
      <c r="K155" s="6">
        <v>11</v>
      </c>
      <c r="L155" s="7" t="s">
        <v>252</v>
      </c>
      <c r="M155" s="8" t="s">
        <v>253</v>
      </c>
      <c r="N155" s="9" t="s">
        <v>60</v>
      </c>
      <c r="O155" s="9" t="s">
        <v>257</v>
      </c>
      <c r="P155" s="10">
        <v>7</v>
      </c>
      <c r="Q155" s="10">
        <v>12.1</v>
      </c>
      <c r="R155" s="10">
        <v>38.6</v>
      </c>
      <c r="S155" s="10">
        <v>4084.95</v>
      </c>
      <c r="T155" s="10">
        <v>4578.6099999999997</v>
      </c>
      <c r="U155" s="11">
        <f t="shared" si="2"/>
        <v>4084.3978590544152</v>
      </c>
      <c r="V155" s="10">
        <v>71.959999999999994</v>
      </c>
      <c r="W155" s="10">
        <v>42.85</v>
      </c>
      <c r="X155" s="7">
        <v>2</v>
      </c>
    </row>
    <row r="156" spans="1:24" hidden="1" x14ac:dyDescent="0.25">
      <c r="A156" s="3">
        <v>2025</v>
      </c>
      <c r="B156" s="2" t="s">
        <v>345</v>
      </c>
      <c r="C156" s="6" t="s">
        <v>64</v>
      </c>
      <c r="D156" s="6" t="s">
        <v>65</v>
      </c>
      <c r="E156" s="6" t="s">
        <v>25</v>
      </c>
      <c r="F156" s="7" t="s">
        <v>353</v>
      </c>
      <c r="G156" s="7">
        <v>108</v>
      </c>
      <c r="H156" s="6">
        <v>8</v>
      </c>
      <c r="I156" s="7">
        <v>1</v>
      </c>
      <c r="J156" s="6">
        <v>3</v>
      </c>
      <c r="K156" s="6">
        <v>12</v>
      </c>
      <c r="L156" s="7" t="s">
        <v>252</v>
      </c>
      <c r="M156" s="8" t="s">
        <v>253</v>
      </c>
      <c r="N156" s="9" t="s">
        <v>62</v>
      </c>
      <c r="O156" s="9" t="s">
        <v>257</v>
      </c>
      <c r="P156" s="10">
        <v>6.91</v>
      </c>
      <c r="Q156" s="10">
        <v>11.1</v>
      </c>
      <c r="R156" s="10">
        <v>35.700000000000003</v>
      </c>
      <c r="S156" s="10">
        <v>4078.3</v>
      </c>
      <c r="T156" s="10">
        <v>4571.16</v>
      </c>
      <c r="U156" s="11">
        <f t="shared" si="2"/>
        <v>4077.7520071364852</v>
      </c>
      <c r="V156" s="10">
        <v>72.41</v>
      </c>
      <c r="W156" s="10">
        <v>47.33</v>
      </c>
      <c r="X156" s="7">
        <v>1</v>
      </c>
    </row>
    <row r="157" spans="1:24" hidden="1" x14ac:dyDescent="0.25">
      <c r="A157" s="3">
        <v>2025</v>
      </c>
      <c r="B157" s="2" t="s">
        <v>345</v>
      </c>
      <c r="C157" s="6" t="s">
        <v>64</v>
      </c>
      <c r="D157" s="6" t="s">
        <v>65</v>
      </c>
      <c r="E157" s="6" t="s">
        <v>25</v>
      </c>
      <c r="F157" s="7" t="s">
        <v>354</v>
      </c>
      <c r="G157" s="7">
        <v>109</v>
      </c>
      <c r="H157" s="6">
        <v>9</v>
      </c>
      <c r="I157" s="7">
        <v>1</v>
      </c>
      <c r="J157" s="6">
        <v>3</v>
      </c>
      <c r="K157" s="6">
        <v>8</v>
      </c>
      <c r="L157" s="7" t="s">
        <v>252</v>
      </c>
      <c r="M157" s="8" t="s">
        <v>31</v>
      </c>
      <c r="N157" s="9" t="s">
        <v>61</v>
      </c>
      <c r="O157" s="9" t="s">
        <v>259</v>
      </c>
      <c r="P157" s="10">
        <v>5.64</v>
      </c>
      <c r="Q157" s="10">
        <v>11.6</v>
      </c>
      <c r="R157" s="10">
        <v>36.4</v>
      </c>
      <c r="S157" s="10">
        <v>3310.02</v>
      </c>
      <c r="T157" s="10">
        <v>3710.04</v>
      </c>
      <c r="U157" s="11">
        <f t="shared" si="2"/>
        <v>3309.5807314897411</v>
      </c>
      <c r="V157" s="10">
        <v>72.069999999999993</v>
      </c>
      <c r="W157" s="10">
        <v>45.13</v>
      </c>
      <c r="X157" s="7">
        <v>1</v>
      </c>
    </row>
    <row r="158" spans="1:24" hidden="1" x14ac:dyDescent="0.25">
      <c r="A158" s="3">
        <v>2025</v>
      </c>
      <c r="B158" s="2" t="s">
        <v>345</v>
      </c>
      <c r="C158" s="6" t="s">
        <v>64</v>
      </c>
      <c r="D158" s="6" t="s">
        <v>65</v>
      </c>
      <c r="E158" s="6" t="s">
        <v>25</v>
      </c>
      <c r="F158" s="7" t="s">
        <v>355</v>
      </c>
      <c r="G158" s="7">
        <v>201</v>
      </c>
      <c r="H158" s="6">
        <v>1</v>
      </c>
      <c r="I158" s="7">
        <v>2</v>
      </c>
      <c r="J158" s="6">
        <v>1</v>
      </c>
      <c r="K158" s="6">
        <v>14</v>
      </c>
      <c r="L158" s="7" t="s">
        <v>252</v>
      </c>
      <c r="M158" s="8" t="s">
        <v>253</v>
      </c>
      <c r="N158" s="9" t="s">
        <v>61</v>
      </c>
      <c r="O158" s="9" t="s">
        <v>257</v>
      </c>
      <c r="P158" s="10">
        <v>2.94</v>
      </c>
      <c r="Q158" s="10">
        <v>0</v>
      </c>
      <c r="R158" s="10">
        <v>0</v>
      </c>
      <c r="S158" s="10">
        <v>1951.85</v>
      </c>
      <c r="T158" s="10">
        <v>2187.73</v>
      </c>
      <c r="U158" s="11">
        <f t="shared" si="2"/>
        <v>1951.5878679750224</v>
      </c>
      <c r="V158" s="10">
        <v>70.75</v>
      </c>
      <c r="W158" s="10">
        <v>49.37</v>
      </c>
      <c r="X158" s="7">
        <v>1</v>
      </c>
    </row>
    <row r="159" spans="1:24" hidden="1" x14ac:dyDescent="0.25">
      <c r="A159" s="3">
        <v>2025</v>
      </c>
      <c r="B159" s="2" t="s">
        <v>345</v>
      </c>
      <c r="C159" s="6" t="s">
        <v>64</v>
      </c>
      <c r="D159" s="6" t="s">
        <v>65</v>
      </c>
      <c r="E159" s="6" t="s">
        <v>25</v>
      </c>
      <c r="F159" s="7" t="s">
        <v>356</v>
      </c>
      <c r="G159" s="7">
        <v>202</v>
      </c>
      <c r="H159" s="6">
        <v>2</v>
      </c>
      <c r="I159" s="7">
        <v>2</v>
      </c>
      <c r="J159" s="6">
        <v>1</v>
      </c>
      <c r="K159" s="6">
        <v>3</v>
      </c>
      <c r="L159" s="7" t="s">
        <v>252</v>
      </c>
      <c r="M159" s="8" t="s">
        <v>31</v>
      </c>
      <c r="N159" s="9" t="s">
        <v>57</v>
      </c>
      <c r="O159" s="9" t="s">
        <v>259</v>
      </c>
      <c r="P159" s="10">
        <v>8.86</v>
      </c>
      <c r="Q159" s="10">
        <v>11.5</v>
      </c>
      <c r="R159" s="10">
        <v>38.4</v>
      </c>
      <c r="S159" s="10">
        <v>5205.67</v>
      </c>
      <c r="T159" s="10">
        <v>5834.77</v>
      </c>
      <c r="U159" s="11">
        <f t="shared" si="2"/>
        <v>5204.9687778768957</v>
      </c>
      <c r="V159" s="10">
        <v>73.099999999999994</v>
      </c>
      <c r="W159" s="10">
        <v>46.4</v>
      </c>
      <c r="X159" s="7">
        <v>2</v>
      </c>
    </row>
    <row r="160" spans="1:24" hidden="1" x14ac:dyDescent="0.25">
      <c r="A160" s="3">
        <v>2025</v>
      </c>
      <c r="B160" s="2" t="s">
        <v>345</v>
      </c>
      <c r="C160" s="6" t="s">
        <v>64</v>
      </c>
      <c r="D160" s="6" t="s">
        <v>65</v>
      </c>
      <c r="E160" s="6" t="s">
        <v>25</v>
      </c>
      <c r="F160" s="7" t="s">
        <v>357</v>
      </c>
      <c r="G160" s="7">
        <v>203</v>
      </c>
      <c r="H160" s="6">
        <v>3</v>
      </c>
      <c r="I160" s="7">
        <v>2</v>
      </c>
      <c r="J160" s="6">
        <v>1</v>
      </c>
      <c r="K160" s="6">
        <v>12</v>
      </c>
      <c r="L160" s="7" t="s">
        <v>252</v>
      </c>
      <c r="M160" s="8" t="s">
        <v>253</v>
      </c>
      <c r="N160" s="9" t="s">
        <v>62</v>
      </c>
      <c r="O160" s="9" t="s">
        <v>257</v>
      </c>
      <c r="P160" s="10">
        <v>8.51</v>
      </c>
      <c r="Q160" s="10">
        <v>12.2</v>
      </c>
      <c r="R160" s="10">
        <v>38.799999999999997</v>
      </c>
      <c r="S160" s="10">
        <v>4960.4799999999996</v>
      </c>
      <c r="T160" s="10">
        <v>5559.95</v>
      </c>
      <c r="U160" s="11">
        <f t="shared" si="2"/>
        <v>4959.8126672613735</v>
      </c>
      <c r="V160" s="10">
        <v>73.75</v>
      </c>
      <c r="W160" s="10">
        <v>49.66</v>
      </c>
      <c r="X160" s="7">
        <v>2</v>
      </c>
    </row>
    <row r="161" spans="1:24" hidden="1" x14ac:dyDescent="0.25">
      <c r="A161" s="3">
        <v>2025</v>
      </c>
      <c r="B161" s="2" t="s">
        <v>345</v>
      </c>
      <c r="C161" s="6" t="s">
        <v>64</v>
      </c>
      <c r="D161" s="6" t="s">
        <v>65</v>
      </c>
      <c r="E161" s="6" t="s">
        <v>25</v>
      </c>
      <c r="F161" s="7" t="s">
        <v>358</v>
      </c>
      <c r="G161" s="7">
        <v>204</v>
      </c>
      <c r="H161" s="6">
        <v>4</v>
      </c>
      <c r="I161" s="7">
        <v>2</v>
      </c>
      <c r="J161" s="6">
        <v>1</v>
      </c>
      <c r="K161" s="6">
        <v>4</v>
      </c>
      <c r="L161" s="7" t="s">
        <v>252</v>
      </c>
      <c r="M161" s="8" t="s">
        <v>31</v>
      </c>
      <c r="N161" s="9" t="s">
        <v>58</v>
      </c>
      <c r="O161" s="9" t="s">
        <v>259</v>
      </c>
      <c r="P161" s="10">
        <v>9.0399999999999991</v>
      </c>
      <c r="Q161" s="10">
        <v>11.9</v>
      </c>
      <c r="R161" s="10">
        <v>38.799999999999997</v>
      </c>
      <c r="S161" s="10">
        <v>5287.42</v>
      </c>
      <c r="T161" s="10">
        <v>5926.4</v>
      </c>
      <c r="U161" s="11">
        <f t="shared" si="2"/>
        <v>5286.708296164139</v>
      </c>
      <c r="V161" s="10">
        <v>73.64</v>
      </c>
      <c r="W161" s="10">
        <v>49</v>
      </c>
      <c r="X161" s="7">
        <v>2</v>
      </c>
    </row>
    <row r="162" spans="1:24" hidden="1" x14ac:dyDescent="0.25">
      <c r="A162" s="3">
        <v>2025</v>
      </c>
      <c r="B162" s="2" t="s">
        <v>345</v>
      </c>
      <c r="C162" s="6" t="s">
        <v>64</v>
      </c>
      <c r="D162" s="6" t="s">
        <v>65</v>
      </c>
      <c r="E162" s="6" t="s">
        <v>25</v>
      </c>
      <c r="F162" s="7" t="s">
        <v>359</v>
      </c>
      <c r="G162" s="7">
        <v>205</v>
      </c>
      <c r="H162" s="6">
        <v>5</v>
      </c>
      <c r="I162" s="7">
        <v>2</v>
      </c>
      <c r="J162" s="6">
        <v>2</v>
      </c>
      <c r="K162" s="6">
        <v>1</v>
      </c>
      <c r="L162" s="7" t="s">
        <v>252</v>
      </c>
      <c r="M162" s="8" t="s">
        <v>469</v>
      </c>
      <c r="N162" s="8" t="s">
        <v>469</v>
      </c>
      <c r="O162" s="8" t="s">
        <v>469</v>
      </c>
      <c r="P162" s="10">
        <v>7.23</v>
      </c>
      <c r="Q162" s="10">
        <v>11.7</v>
      </c>
      <c r="R162" s="10">
        <v>37.6</v>
      </c>
      <c r="S162" s="10">
        <v>4238.3599999999997</v>
      </c>
      <c r="T162" s="10">
        <v>4750.57</v>
      </c>
      <c r="U162" s="11">
        <f t="shared" si="2"/>
        <v>4237.796610169491</v>
      </c>
      <c r="V162" s="10">
        <v>73</v>
      </c>
      <c r="W162" s="10">
        <v>44.11</v>
      </c>
      <c r="X162" s="7">
        <v>3</v>
      </c>
    </row>
    <row r="163" spans="1:24" hidden="1" x14ac:dyDescent="0.25">
      <c r="A163" s="3">
        <v>2025</v>
      </c>
      <c r="B163" s="2" t="s">
        <v>345</v>
      </c>
      <c r="C163" s="6" t="s">
        <v>64</v>
      </c>
      <c r="D163" s="6" t="s">
        <v>65</v>
      </c>
      <c r="E163" s="6" t="s">
        <v>25</v>
      </c>
      <c r="F163" s="7" t="s">
        <v>360</v>
      </c>
      <c r="G163" s="7">
        <v>206</v>
      </c>
      <c r="H163" s="6">
        <v>6</v>
      </c>
      <c r="I163" s="7">
        <v>2</v>
      </c>
      <c r="J163" s="6">
        <v>2</v>
      </c>
      <c r="K163" s="6">
        <v>5</v>
      </c>
      <c r="L163" s="7" t="s">
        <v>252</v>
      </c>
      <c r="M163" s="8" t="s">
        <v>31</v>
      </c>
      <c r="N163" s="9" t="s">
        <v>60</v>
      </c>
      <c r="O163" s="9" t="s">
        <v>259</v>
      </c>
      <c r="P163" s="10">
        <v>8.41</v>
      </c>
      <c r="Q163" s="10">
        <v>12.3</v>
      </c>
      <c r="R163" s="10">
        <v>39.9</v>
      </c>
      <c r="S163" s="10">
        <v>4896.6000000000004</v>
      </c>
      <c r="T163" s="10">
        <v>5488.36</v>
      </c>
      <c r="U163" s="11">
        <f t="shared" si="2"/>
        <v>4895.9500446030324</v>
      </c>
      <c r="V163" s="10">
        <v>73.47</v>
      </c>
      <c r="W163" s="10">
        <v>45.26</v>
      </c>
      <c r="X163" s="7">
        <v>2</v>
      </c>
    </row>
    <row r="164" spans="1:24" hidden="1" x14ac:dyDescent="0.25">
      <c r="A164" s="3">
        <v>2025</v>
      </c>
      <c r="B164" s="2" t="s">
        <v>345</v>
      </c>
      <c r="C164" s="6" t="s">
        <v>64</v>
      </c>
      <c r="D164" s="6" t="s">
        <v>65</v>
      </c>
      <c r="E164" s="6" t="s">
        <v>25</v>
      </c>
      <c r="F164" s="7" t="s">
        <v>361</v>
      </c>
      <c r="G164" s="7">
        <v>207</v>
      </c>
      <c r="H164" s="6">
        <v>7</v>
      </c>
      <c r="I164" s="7">
        <v>2</v>
      </c>
      <c r="J164" s="6">
        <v>3</v>
      </c>
      <c r="K164" s="6">
        <v>7</v>
      </c>
      <c r="L164" s="7" t="s">
        <v>252</v>
      </c>
      <c r="M164" s="8" t="s">
        <v>31</v>
      </c>
      <c r="N164" s="9" t="s">
        <v>59</v>
      </c>
      <c r="O164" s="9" t="s">
        <v>259</v>
      </c>
      <c r="P164" s="10">
        <v>7.91</v>
      </c>
      <c r="Q164" s="10">
        <v>11.9</v>
      </c>
      <c r="R164" s="10">
        <v>37.200000000000003</v>
      </c>
      <c r="S164" s="10">
        <v>4626.49</v>
      </c>
      <c r="T164" s="10">
        <v>5185.6000000000004</v>
      </c>
      <c r="U164" s="11">
        <f t="shared" si="2"/>
        <v>4625.8697591436221</v>
      </c>
      <c r="V164" s="10">
        <v>73.069999999999993</v>
      </c>
      <c r="W164" s="10">
        <v>46.33</v>
      </c>
      <c r="X164" s="7">
        <v>2</v>
      </c>
    </row>
    <row r="165" spans="1:24" hidden="1" x14ac:dyDescent="0.25">
      <c r="A165" s="3">
        <v>2025</v>
      </c>
      <c r="B165" s="2" t="s">
        <v>345</v>
      </c>
      <c r="C165" s="6" t="s">
        <v>64</v>
      </c>
      <c r="D165" s="6" t="s">
        <v>65</v>
      </c>
      <c r="E165" s="6" t="s">
        <v>25</v>
      </c>
      <c r="F165" s="7" t="s">
        <v>362</v>
      </c>
      <c r="G165" s="7">
        <v>208</v>
      </c>
      <c r="H165" s="6">
        <v>8</v>
      </c>
      <c r="I165" s="7">
        <v>2</v>
      </c>
      <c r="J165" s="6">
        <v>3</v>
      </c>
      <c r="K165" s="6">
        <v>13</v>
      </c>
      <c r="L165" s="7" t="s">
        <v>252</v>
      </c>
      <c r="M165" s="8" t="s">
        <v>253</v>
      </c>
      <c r="N165" s="9" t="s">
        <v>59</v>
      </c>
      <c r="O165" s="9" t="s">
        <v>257</v>
      </c>
      <c r="P165" s="10">
        <v>6.59</v>
      </c>
      <c r="Q165" s="10">
        <v>12.1</v>
      </c>
      <c r="R165" s="10">
        <v>36</v>
      </c>
      <c r="S165" s="10">
        <v>3845.68</v>
      </c>
      <c r="T165" s="10">
        <v>4310.43</v>
      </c>
      <c r="U165" s="11">
        <f t="shared" si="2"/>
        <v>3845.1650312221232</v>
      </c>
      <c r="V165" s="10">
        <v>73.23</v>
      </c>
      <c r="W165" s="10">
        <v>49.49</v>
      </c>
      <c r="X165" s="7">
        <v>1</v>
      </c>
    </row>
    <row r="166" spans="1:24" hidden="1" x14ac:dyDescent="0.25">
      <c r="A166" s="3">
        <v>2025</v>
      </c>
      <c r="B166" s="2" t="s">
        <v>345</v>
      </c>
      <c r="C166" s="6" t="s">
        <v>64</v>
      </c>
      <c r="D166" s="6" t="s">
        <v>65</v>
      </c>
      <c r="E166" s="6" t="s">
        <v>25</v>
      </c>
      <c r="F166" s="7" t="s">
        <v>363</v>
      </c>
      <c r="G166" s="7">
        <v>209</v>
      </c>
      <c r="H166" s="6">
        <v>9</v>
      </c>
      <c r="I166" s="7">
        <v>2</v>
      </c>
      <c r="J166" s="6">
        <v>3</v>
      </c>
      <c r="K166" s="6">
        <v>11</v>
      </c>
      <c r="L166" s="7" t="s">
        <v>252</v>
      </c>
      <c r="M166" s="8" t="s">
        <v>253</v>
      </c>
      <c r="N166" s="9" t="s">
        <v>60</v>
      </c>
      <c r="O166" s="9" t="s">
        <v>257</v>
      </c>
      <c r="P166" s="10">
        <v>6.99</v>
      </c>
      <c r="Q166" s="10">
        <v>11.5</v>
      </c>
      <c r="R166" s="10">
        <v>37.1</v>
      </c>
      <c r="S166" s="10">
        <v>4106.95</v>
      </c>
      <c r="T166" s="10">
        <v>4603.28</v>
      </c>
      <c r="U166" s="11">
        <f t="shared" si="2"/>
        <v>4106.4049955396968</v>
      </c>
      <c r="V166" s="10">
        <v>71.83</v>
      </c>
      <c r="W166" s="10">
        <v>43.44</v>
      </c>
      <c r="X166" s="7">
        <v>1</v>
      </c>
    </row>
    <row r="167" spans="1:24" hidden="1" x14ac:dyDescent="0.25">
      <c r="A167" s="3">
        <v>2025</v>
      </c>
      <c r="B167" s="2" t="s">
        <v>345</v>
      </c>
      <c r="C167" s="6" t="s">
        <v>64</v>
      </c>
      <c r="D167" s="6" t="s">
        <v>65</v>
      </c>
      <c r="E167" s="6" t="s">
        <v>25</v>
      </c>
      <c r="F167" s="7" t="s">
        <v>364</v>
      </c>
      <c r="G167" s="7">
        <v>301</v>
      </c>
      <c r="H167" s="6">
        <v>1</v>
      </c>
      <c r="I167" s="7">
        <v>3</v>
      </c>
      <c r="J167" s="6">
        <v>1</v>
      </c>
      <c r="K167" s="6">
        <v>7</v>
      </c>
      <c r="L167" s="7" t="s">
        <v>252</v>
      </c>
      <c r="M167" s="8" t="s">
        <v>31</v>
      </c>
      <c r="N167" s="9" t="s">
        <v>59</v>
      </c>
      <c r="O167" s="9" t="s">
        <v>259</v>
      </c>
      <c r="P167" s="10">
        <v>7.95</v>
      </c>
      <c r="Q167" s="10">
        <v>13</v>
      </c>
      <c r="R167" s="10">
        <v>39.5</v>
      </c>
      <c r="S167" s="10">
        <v>4591.83</v>
      </c>
      <c r="T167" s="10">
        <v>5146.75</v>
      </c>
      <c r="U167" s="11">
        <f t="shared" si="2"/>
        <v>4591.21320249777</v>
      </c>
      <c r="V167" s="10">
        <v>73.739999999999995</v>
      </c>
      <c r="W167" s="10">
        <v>54.28</v>
      </c>
      <c r="X167" s="7">
        <v>1</v>
      </c>
    </row>
    <row r="168" spans="1:24" hidden="1" x14ac:dyDescent="0.25">
      <c r="A168" s="3">
        <v>2025</v>
      </c>
      <c r="B168" s="2" t="s">
        <v>345</v>
      </c>
      <c r="C168" s="6" t="s">
        <v>64</v>
      </c>
      <c r="D168" s="6" t="s">
        <v>65</v>
      </c>
      <c r="E168" s="6" t="s">
        <v>25</v>
      </c>
      <c r="F168" s="7" t="s">
        <v>365</v>
      </c>
      <c r="G168" s="7">
        <v>302</v>
      </c>
      <c r="H168" s="6">
        <v>2</v>
      </c>
      <c r="I168" s="7">
        <v>3</v>
      </c>
      <c r="J168" s="6">
        <v>1</v>
      </c>
      <c r="K168" s="6">
        <v>16</v>
      </c>
      <c r="L168" s="7" t="s">
        <v>252</v>
      </c>
      <c r="M168" s="8" t="s">
        <v>254</v>
      </c>
      <c r="N168" s="9" t="s">
        <v>58</v>
      </c>
      <c r="O168" s="9" t="s">
        <v>258</v>
      </c>
      <c r="P168" s="10">
        <v>8.48</v>
      </c>
      <c r="Q168" s="10">
        <v>12.3</v>
      </c>
      <c r="R168" s="10">
        <v>39</v>
      </c>
      <c r="S168" s="10">
        <v>4937.3599999999997</v>
      </c>
      <c r="T168" s="10">
        <v>5534.04</v>
      </c>
      <c r="U168" s="11">
        <f t="shared" si="2"/>
        <v>4936.6993755575377</v>
      </c>
      <c r="V168" s="10">
        <v>73.11</v>
      </c>
      <c r="W168" s="10">
        <v>47.37</v>
      </c>
      <c r="X168" s="7">
        <v>2</v>
      </c>
    </row>
    <row r="169" spans="1:24" hidden="1" x14ac:dyDescent="0.25">
      <c r="A169" s="3">
        <v>2025</v>
      </c>
      <c r="B169" s="2" t="s">
        <v>345</v>
      </c>
      <c r="C169" s="6" t="s">
        <v>64</v>
      </c>
      <c r="D169" s="6" t="s">
        <v>65</v>
      </c>
      <c r="E169" s="6" t="s">
        <v>25</v>
      </c>
      <c r="F169" s="7" t="s">
        <v>366</v>
      </c>
      <c r="G169" s="7">
        <v>303</v>
      </c>
      <c r="H169" s="6">
        <v>3</v>
      </c>
      <c r="I169" s="7">
        <v>3</v>
      </c>
      <c r="J169" s="6">
        <v>1</v>
      </c>
      <c r="K169" s="6">
        <v>15</v>
      </c>
      <c r="L169" s="7" t="s">
        <v>252</v>
      </c>
      <c r="M169" s="8" t="s">
        <v>254</v>
      </c>
      <c r="N169" s="9" t="s">
        <v>57</v>
      </c>
      <c r="O169" s="9" t="s">
        <v>258</v>
      </c>
      <c r="P169" s="10">
        <v>9.06</v>
      </c>
      <c r="Q169" s="10">
        <v>12.7</v>
      </c>
      <c r="R169" s="10">
        <v>40.200000000000003</v>
      </c>
      <c r="S169" s="10">
        <v>5251</v>
      </c>
      <c r="T169" s="10">
        <v>5885.58</v>
      </c>
      <c r="U169" s="11">
        <f t="shared" si="2"/>
        <v>5250.2943800178409</v>
      </c>
      <c r="V169" s="10">
        <v>72.7</v>
      </c>
      <c r="W169" s="10">
        <v>47.03</v>
      </c>
      <c r="X169" s="7">
        <v>2</v>
      </c>
    </row>
    <row r="170" spans="1:24" hidden="1" x14ac:dyDescent="0.25">
      <c r="A170" s="3">
        <v>2025</v>
      </c>
      <c r="B170" s="2" t="s">
        <v>345</v>
      </c>
      <c r="C170" s="6" t="s">
        <v>64</v>
      </c>
      <c r="D170" s="6" t="s">
        <v>65</v>
      </c>
      <c r="E170" s="6" t="s">
        <v>25</v>
      </c>
      <c r="F170" s="7" t="s">
        <v>367</v>
      </c>
      <c r="G170" s="7">
        <v>304</v>
      </c>
      <c r="H170" s="6">
        <v>4</v>
      </c>
      <c r="I170" s="7">
        <v>3</v>
      </c>
      <c r="J170" s="6">
        <v>2</v>
      </c>
      <c r="K170" s="6">
        <v>10</v>
      </c>
      <c r="L170" s="7" t="s">
        <v>252</v>
      </c>
      <c r="M170" s="8" t="s">
        <v>253</v>
      </c>
      <c r="N170" s="9" t="s">
        <v>58</v>
      </c>
      <c r="O170" s="9" t="s">
        <v>257</v>
      </c>
      <c r="P170" s="10">
        <v>8.7200000000000006</v>
      </c>
      <c r="Q170" s="10">
        <v>12.8</v>
      </c>
      <c r="R170" s="10">
        <v>40.1</v>
      </c>
      <c r="S170" s="10">
        <v>5048.1499999999996</v>
      </c>
      <c r="T170" s="10">
        <v>5658.22</v>
      </c>
      <c r="U170" s="11">
        <f t="shared" si="2"/>
        <v>5047.475468331847</v>
      </c>
      <c r="V170" s="10">
        <v>72.97</v>
      </c>
      <c r="W170" s="10">
        <v>45.82</v>
      </c>
      <c r="X170" s="7">
        <v>1</v>
      </c>
    </row>
    <row r="171" spans="1:24" hidden="1" x14ac:dyDescent="0.25">
      <c r="A171" s="3">
        <v>2025</v>
      </c>
      <c r="B171" s="2" t="s">
        <v>345</v>
      </c>
      <c r="C171" s="6" t="s">
        <v>64</v>
      </c>
      <c r="D171" s="6" t="s">
        <v>65</v>
      </c>
      <c r="E171" s="6" t="s">
        <v>25</v>
      </c>
      <c r="F171" s="7" t="s">
        <v>368</v>
      </c>
      <c r="G171" s="7">
        <v>305</v>
      </c>
      <c r="H171" s="6">
        <v>5</v>
      </c>
      <c r="I171" s="7">
        <v>3</v>
      </c>
      <c r="J171" s="6">
        <v>2</v>
      </c>
      <c r="K171" s="6">
        <v>13</v>
      </c>
      <c r="L171" s="7" t="s">
        <v>252</v>
      </c>
      <c r="M171" s="8" t="s">
        <v>253</v>
      </c>
      <c r="N171" s="9" t="s">
        <v>59</v>
      </c>
      <c r="O171" s="9" t="s">
        <v>257</v>
      </c>
      <c r="P171" s="10">
        <v>7.09</v>
      </c>
      <c r="Q171" s="10">
        <v>12.4</v>
      </c>
      <c r="R171" s="10">
        <v>38.700000000000003</v>
      </c>
      <c r="S171" s="10">
        <v>4123.34</v>
      </c>
      <c r="T171" s="10">
        <v>4621.6499999999996</v>
      </c>
      <c r="U171" s="11">
        <f t="shared" si="2"/>
        <v>4122.7921498661908</v>
      </c>
      <c r="V171" s="10">
        <v>73.69</v>
      </c>
      <c r="W171" s="10">
        <v>50.5</v>
      </c>
      <c r="X171" s="7">
        <v>2</v>
      </c>
    </row>
    <row r="172" spans="1:24" hidden="1" x14ac:dyDescent="0.25">
      <c r="A172" s="3">
        <v>2025</v>
      </c>
      <c r="B172" s="2" t="s">
        <v>345</v>
      </c>
      <c r="C172" s="6" t="s">
        <v>64</v>
      </c>
      <c r="D172" s="6" t="s">
        <v>65</v>
      </c>
      <c r="E172" s="6" t="s">
        <v>25</v>
      </c>
      <c r="F172" s="7" t="s">
        <v>369</v>
      </c>
      <c r="G172" s="7">
        <v>306</v>
      </c>
      <c r="H172" s="6">
        <v>6</v>
      </c>
      <c r="I172" s="7">
        <v>3</v>
      </c>
      <c r="J172" s="6">
        <v>2</v>
      </c>
      <c r="K172" s="6">
        <v>17</v>
      </c>
      <c r="L172" s="7" t="s">
        <v>252</v>
      </c>
      <c r="M172" s="8" t="s">
        <v>254</v>
      </c>
      <c r="N172" s="9" t="s">
        <v>60</v>
      </c>
      <c r="O172" s="9" t="s">
        <v>258</v>
      </c>
      <c r="P172" s="10">
        <v>8.8699999999999992</v>
      </c>
      <c r="Q172" s="10">
        <v>12.6</v>
      </c>
      <c r="R172" s="10">
        <v>39.700000000000003</v>
      </c>
      <c r="S172" s="10">
        <v>5146.7700000000004</v>
      </c>
      <c r="T172" s="10">
        <v>5768.75</v>
      </c>
      <c r="U172" s="11">
        <f t="shared" si="2"/>
        <v>5146.0749330954504</v>
      </c>
      <c r="V172" s="10">
        <v>73.930000000000007</v>
      </c>
      <c r="W172" s="10">
        <v>49.26</v>
      </c>
      <c r="X172" s="7">
        <v>2</v>
      </c>
    </row>
    <row r="173" spans="1:24" hidden="1" x14ac:dyDescent="0.25">
      <c r="A173" s="3">
        <v>2025</v>
      </c>
      <c r="B173" s="2" t="s">
        <v>345</v>
      </c>
      <c r="C173" s="6" t="s">
        <v>64</v>
      </c>
      <c r="D173" s="6" t="s">
        <v>65</v>
      </c>
      <c r="E173" s="6" t="s">
        <v>25</v>
      </c>
      <c r="F173" s="7" t="s">
        <v>370</v>
      </c>
      <c r="G173" s="7">
        <v>307</v>
      </c>
      <c r="H173" s="6">
        <v>7</v>
      </c>
      <c r="I173" s="7">
        <v>3</v>
      </c>
      <c r="J173" s="6">
        <v>3</v>
      </c>
      <c r="K173" s="6">
        <v>4</v>
      </c>
      <c r="L173" s="7" t="s">
        <v>252</v>
      </c>
      <c r="M173" s="8" t="s">
        <v>31</v>
      </c>
      <c r="N173" s="9" t="s">
        <v>58</v>
      </c>
      <c r="O173" s="9" t="s">
        <v>259</v>
      </c>
      <c r="P173" s="10">
        <v>9.02</v>
      </c>
      <c r="Q173" s="10">
        <v>11.8</v>
      </c>
      <c r="R173" s="10">
        <v>39.200000000000003</v>
      </c>
      <c r="S173" s="10">
        <v>5281.71</v>
      </c>
      <c r="T173" s="10">
        <v>5920</v>
      </c>
      <c r="U173" s="11">
        <f t="shared" si="2"/>
        <v>5280.9991079393403</v>
      </c>
      <c r="V173" s="10">
        <v>72.61</v>
      </c>
      <c r="W173" s="10">
        <v>45.12</v>
      </c>
      <c r="X173" s="7">
        <v>2</v>
      </c>
    </row>
    <row r="174" spans="1:24" hidden="1" x14ac:dyDescent="0.25">
      <c r="A174" s="3">
        <v>2025</v>
      </c>
      <c r="B174" s="2" t="s">
        <v>345</v>
      </c>
      <c r="C174" s="6" t="s">
        <v>64</v>
      </c>
      <c r="D174" s="6" t="s">
        <v>65</v>
      </c>
      <c r="E174" s="6" t="s">
        <v>25</v>
      </c>
      <c r="F174" s="7" t="s">
        <v>371</v>
      </c>
      <c r="G174" s="7">
        <v>308</v>
      </c>
      <c r="H174" s="6">
        <v>8</v>
      </c>
      <c r="I174" s="7">
        <v>3</v>
      </c>
      <c r="J174" s="6">
        <v>3</v>
      </c>
      <c r="K174" s="6">
        <v>18</v>
      </c>
      <c r="L174" s="7" t="s">
        <v>252</v>
      </c>
      <c r="M174" s="8" t="s">
        <v>254</v>
      </c>
      <c r="N174" s="9" t="s">
        <v>62</v>
      </c>
      <c r="O174" s="9" t="s">
        <v>258</v>
      </c>
      <c r="P174" s="10">
        <v>7.28</v>
      </c>
      <c r="Q174" s="10">
        <v>13.4</v>
      </c>
      <c r="R174" s="10">
        <v>35.4</v>
      </c>
      <c r="S174" s="10">
        <v>4185.51</v>
      </c>
      <c r="T174" s="10">
        <v>4691.33</v>
      </c>
      <c r="U174" s="11">
        <f t="shared" si="2"/>
        <v>4184.950936663693</v>
      </c>
      <c r="V174" s="10">
        <v>72.349999999999994</v>
      </c>
      <c r="W174" s="10">
        <v>48.83</v>
      </c>
      <c r="X174" s="7">
        <v>1</v>
      </c>
    </row>
    <row r="175" spans="1:24" hidden="1" x14ac:dyDescent="0.25">
      <c r="A175" s="3">
        <v>2025</v>
      </c>
      <c r="B175" s="2" t="s">
        <v>345</v>
      </c>
      <c r="C175" s="6" t="s">
        <v>64</v>
      </c>
      <c r="D175" s="6" t="s">
        <v>65</v>
      </c>
      <c r="E175" s="6" t="s">
        <v>25</v>
      </c>
      <c r="F175" s="7" t="s">
        <v>372</v>
      </c>
      <c r="G175" s="7">
        <v>309</v>
      </c>
      <c r="H175" s="6">
        <v>9</v>
      </c>
      <c r="I175" s="7">
        <v>3</v>
      </c>
      <c r="J175" s="6">
        <v>3</v>
      </c>
      <c r="K175" s="6">
        <v>10</v>
      </c>
      <c r="L175" s="7" t="s">
        <v>252</v>
      </c>
      <c r="M175" s="8" t="s">
        <v>253</v>
      </c>
      <c r="N175" s="9" t="s">
        <v>58</v>
      </c>
      <c r="O175" s="9" t="s">
        <v>257</v>
      </c>
      <c r="P175" s="10">
        <v>7.63</v>
      </c>
      <c r="Q175" s="10">
        <v>12</v>
      </c>
      <c r="R175" s="10">
        <v>37</v>
      </c>
      <c r="S175" s="10">
        <v>4457.66</v>
      </c>
      <c r="T175" s="10">
        <v>4996.3599999999997</v>
      </c>
      <c r="U175" s="11">
        <f t="shared" si="2"/>
        <v>4457.0561998215871</v>
      </c>
      <c r="V175" s="10">
        <v>72.099999999999994</v>
      </c>
      <c r="W175" s="10">
        <v>43.09</v>
      </c>
      <c r="X175" s="7">
        <v>2</v>
      </c>
    </row>
    <row r="176" spans="1:24" hidden="1" x14ac:dyDescent="0.25">
      <c r="A176" s="3">
        <v>2025</v>
      </c>
      <c r="B176" s="2" t="s">
        <v>345</v>
      </c>
      <c r="C176" s="6" t="s">
        <v>64</v>
      </c>
      <c r="D176" s="6" t="s">
        <v>65</v>
      </c>
      <c r="E176" s="6" t="s">
        <v>25</v>
      </c>
      <c r="F176" s="7" t="s">
        <v>373</v>
      </c>
      <c r="G176" s="7">
        <v>401</v>
      </c>
      <c r="H176" s="6">
        <v>1</v>
      </c>
      <c r="I176" s="7">
        <v>4</v>
      </c>
      <c r="J176" s="6">
        <v>1</v>
      </c>
      <c r="K176" s="6">
        <v>6</v>
      </c>
      <c r="L176" s="7" t="s">
        <v>252</v>
      </c>
      <c r="M176" s="8" t="s">
        <v>31</v>
      </c>
      <c r="N176" s="9" t="s">
        <v>62</v>
      </c>
      <c r="O176" s="9" t="s">
        <v>259</v>
      </c>
      <c r="P176" s="10">
        <v>8.23</v>
      </c>
      <c r="Q176" s="10">
        <v>12.5</v>
      </c>
      <c r="R176" s="10">
        <v>39.5</v>
      </c>
      <c r="S176" s="10">
        <v>4780.87</v>
      </c>
      <c r="T176" s="10">
        <v>5358.64</v>
      </c>
      <c r="U176" s="11">
        <f t="shared" si="2"/>
        <v>4780.2319357716324</v>
      </c>
      <c r="V176" s="10">
        <v>73.73</v>
      </c>
      <c r="W176" s="10">
        <v>52.72</v>
      </c>
      <c r="X176" s="7">
        <v>1</v>
      </c>
    </row>
    <row r="177" spans="1:24" hidden="1" x14ac:dyDescent="0.25">
      <c r="A177" s="3">
        <v>2025</v>
      </c>
      <c r="B177" s="2" t="s">
        <v>345</v>
      </c>
      <c r="C177" s="6" t="s">
        <v>64</v>
      </c>
      <c r="D177" s="6" t="s">
        <v>65</v>
      </c>
      <c r="E177" s="6" t="s">
        <v>25</v>
      </c>
      <c r="F177" s="7" t="s">
        <v>374</v>
      </c>
      <c r="G177" s="7">
        <v>402</v>
      </c>
      <c r="H177" s="6">
        <v>2</v>
      </c>
      <c r="I177" s="7">
        <v>4</v>
      </c>
      <c r="J177" s="6">
        <v>1</v>
      </c>
      <c r="K177" s="6">
        <v>9</v>
      </c>
      <c r="L177" s="7" t="s">
        <v>252</v>
      </c>
      <c r="M177" s="8" t="s">
        <v>253</v>
      </c>
      <c r="N177" s="9" t="s">
        <v>57</v>
      </c>
      <c r="O177" s="9" t="s">
        <v>257</v>
      </c>
      <c r="P177" s="10">
        <v>8.91</v>
      </c>
      <c r="Q177" s="10">
        <v>12.7</v>
      </c>
      <c r="R177" s="10">
        <v>40.5</v>
      </c>
      <c r="S177" s="10">
        <v>5164.0600000000004</v>
      </c>
      <c r="T177" s="10">
        <v>5788.14</v>
      </c>
      <c r="U177" s="11">
        <f t="shared" si="2"/>
        <v>5163.3719892952722</v>
      </c>
      <c r="V177" s="10">
        <v>73.55</v>
      </c>
      <c r="W177" s="10">
        <v>47.2</v>
      </c>
      <c r="X177" s="7">
        <v>2</v>
      </c>
    </row>
    <row r="178" spans="1:24" hidden="1" x14ac:dyDescent="0.25">
      <c r="A178" s="3">
        <v>2025</v>
      </c>
      <c r="B178" s="2" t="s">
        <v>345</v>
      </c>
      <c r="C178" s="6" t="s">
        <v>64</v>
      </c>
      <c r="D178" s="6" t="s">
        <v>65</v>
      </c>
      <c r="E178" s="6" t="s">
        <v>25</v>
      </c>
      <c r="F178" s="7" t="s">
        <v>375</v>
      </c>
      <c r="G178" s="7">
        <v>403</v>
      </c>
      <c r="H178" s="6">
        <v>3</v>
      </c>
      <c r="I178" s="7">
        <v>4</v>
      </c>
      <c r="J178" s="6">
        <v>1</v>
      </c>
      <c r="K178" s="6">
        <v>20</v>
      </c>
      <c r="L178" s="7" t="s">
        <v>252</v>
      </c>
      <c r="M178" s="8" t="s">
        <v>254</v>
      </c>
      <c r="N178" s="9" t="s">
        <v>61</v>
      </c>
      <c r="O178" s="9" t="s">
        <v>258</v>
      </c>
      <c r="P178" s="10">
        <v>8.16</v>
      </c>
      <c r="Q178" s="10">
        <v>12.9</v>
      </c>
      <c r="R178" s="10">
        <v>40.9</v>
      </c>
      <c r="S178" s="10">
        <v>4718.54</v>
      </c>
      <c r="T178" s="10">
        <v>5288.78</v>
      </c>
      <c r="U178" s="11">
        <f t="shared" si="2"/>
        <v>4717.9125780553077</v>
      </c>
      <c r="V178" s="10">
        <v>74.8</v>
      </c>
      <c r="W178" s="10">
        <v>52.51</v>
      </c>
      <c r="X178" s="7">
        <v>2</v>
      </c>
    </row>
    <row r="179" spans="1:24" hidden="1" x14ac:dyDescent="0.25">
      <c r="A179" s="3">
        <v>2025</v>
      </c>
      <c r="B179" s="2" t="s">
        <v>345</v>
      </c>
      <c r="C179" s="6" t="s">
        <v>64</v>
      </c>
      <c r="D179" s="6" t="s">
        <v>65</v>
      </c>
      <c r="E179" s="6" t="s">
        <v>25</v>
      </c>
      <c r="F179" s="7" t="s">
        <v>376</v>
      </c>
      <c r="G179" s="7">
        <v>404</v>
      </c>
      <c r="H179" s="6">
        <v>4</v>
      </c>
      <c r="I179" s="7">
        <v>4</v>
      </c>
      <c r="J179" s="6">
        <v>2</v>
      </c>
      <c r="K179" s="6">
        <v>4</v>
      </c>
      <c r="L179" s="7" t="s">
        <v>252</v>
      </c>
      <c r="M179" s="8" t="s">
        <v>31</v>
      </c>
      <c r="N179" s="9" t="s">
        <v>58</v>
      </c>
      <c r="O179" s="9" t="s">
        <v>259</v>
      </c>
      <c r="P179" s="10">
        <v>9.11</v>
      </c>
      <c r="Q179" s="10">
        <v>12.7</v>
      </c>
      <c r="R179" s="10">
        <v>40.6</v>
      </c>
      <c r="S179" s="10">
        <v>5279.98</v>
      </c>
      <c r="T179" s="10">
        <v>5918.06</v>
      </c>
      <c r="U179" s="11">
        <f t="shared" si="2"/>
        <v>5279.2685102586984</v>
      </c>
      <c r="V179" s="10">
        <v>74.03</v>
      </c>
      <c r="W179" s="10">
        <v>47.36</v>
      </c>
      <c r="X179" s="7">
        <v>2</v>
      </c>
    </row>
    <row r="180" spans="1:24" hidden="1" x14ac:dyDescent="0.25">
      <c r="A180" s="3">
        <v>2025</v>
      </c>
      <c r="B180" s="2" t="s">
        <v>345</v>
      </c>
      <c r="C180" s="6" t="s">
        <v>64</v>
      </c>
      <c r="D180" s="6" t="s">
        <v>65</v>
      </c>
      <c r="E180" s="6" t="s">
        <v>25</v>
      </c>
      <c r="F180" s="7" t="s">
        <v>377</v>
      </c>
      <c r="G180" s="7">
        <v>405</v>
      </c>
      <c r="H180" s="6">
        <v>5</v>
      </c>
      <c r="I180" s="7">
        <v>4</v>
      </c>
      <c r="J180" s="6">
        <v>2</v>
      </c>
      <c r="K180" s="6">
        <v>2</v>
      </c>
      <c r="L180" s="7" t="s">
        <v>252</v>
      </c>
      <c r="M180" s="8" t="s">
        <v>469</v>
      </c>
      <c r="N180" s="8" t="s">
        <v>469</v>
      </c>
      <c r="O180" s="8" t="s">
        <v>469</v>
      </c>
      <c r="P180" s="10">
        <v>8.17</v>
      </c>
      <c r="Q180" s="10">
        <v>11.8</v>
      </c>
      <c r="R180" s="10">
        <v>38.799999999999997</v>
      </c>
      <c r="S180" s="10">
        <v>4783.99</v>
      </c>
      <c r="T180" s="10">
        <v>5362.13</v>
      </c>
      <c r="U180" s="11">
        <f t="shared" si="2"/>
        <v>4783.3452274754682</v>
      </c>
      <c r="V180" s="10">
        <v>74.39</v>
      </c>
      <c r="W180" s="10">
        <v>49.5</v>
      </c>
      <c r="X180" s="7">
        <v>2</v>
      </c>
    </row>
    <row r="181" spans="1:24" hidden="1" x14ac:dyDescent="0.25">
      <c r="A181" s="3">
        <v>2025</v>
      </c>
      <c r="B181" s="2" t="s">
        <v>345</v>
      </c>
      <c r="C181" s="6" t="s">
        <v>64</v>
      </c>
      <c r="D181" s="6" t="s">
        <v>65</v>
      </c>
      <c r="E181" s="6" t="s">
        <v>25</v>
      </c>
      <c r="F181" s="7" t="s">
        <v>378</v>
      </c>
      <c r="G181" s="7">
        <v>406</v>
      </c>
      <c r="H181" s="6">
        <v>6</v>
      </c>
      <c r="I181" s="7">
        <v>4</v>
      </c>
      <c r="J181" s="6">
        <v>2</v>
      </c>
      <c r="K181" s="6">
        <v>7</v>
      </c>
      <c r="L181" s="7" t="s">
        <v>252</v>
      </c>
      <c r="M181" s="8" t="s">
        <v>31</v>
      </c>
      <c r="N181" s="9" t="s">
        <v>59</v>
      </c>
      <c r="O181" s="9" t="s">
        <v>259</v>
      </c>
      <c r="P181" s="10">
        <v>8.1999999999999993</v>
      </c>
      <c r="Q181" s="10">
        <v>11.9</v>
      </c>
      <c r="R181" s="10">
        <v>38.5</v>
      </c>
      <c r="S181" s="10">
        <v>4796.1099999999997</v>
      </c>
      <c r="T181" s="10">
        <v>5375.72</v>
      </c>
      <c r="U181" s="11">
        <f t="shared" si="2"/>
        <v>4795.4683318465659</v>
      </c>
      <c r="V181" s="10">
        <v>74.239999999999995</v>
      </c>
      <c r="W181" s="10">
        <v>47.05</v>
      </c>
      <c r="X181" s="7">
        <v>1</v>
      </c>
    </row>
    <row r="182" spans="1:24" hidden="1" x14ac:dyDescent="0.25">
      <c r="A182" s="3">
        <v>2025</v>
      </c>
      <c r="B182" s="2" t="s">
        <v>345</v>
      </c>
      <c r="C182" s="6" t="s">
        <v>64</v>
      </c>
      <c r="D182" s="6" t="s">
        <v>65</v>
      </c>
      <c r="E182" s="6" t="s">
        <v>25</v>
      </c>
      <c r="F182" s="7" t="s">
        <v>379</v>
      </c>
      <c r="G182" s="7">
        <v>407</v>
      </c>
      <c r="H182" s="6">
        <v>7</v>
      </c>
      <c r="I182" s="7">
        <v>4</v>
      </c>
      <c r="J182" s="6">
        <v>3</v>
      </c>
      <c r="K182" s="6">
        <v>19</v>
      </c>
      <c r="L182" s="7" t="s">
        <v>252</v>
      </c>
      <c r="M182" s="8" t="s">
        <v>254</v>
      </c>
      <c r="N182" s="9" t="s">
        <v>59</v>
      </c>
      <c r="O182" s="9" t="s">
        <v>258</v>
      </c>
      <c r="P182" s="10">
        <v>7.75</v>
      </c>
      <c r="Q182" s="10">
        <v>12.7</v>
      </c>
      <c r="R182" s="10">
        <v>39.5</v>
      </c>
      <c r="S182" s="10">
        <v>4491.75</v>
      </c>
      <c r="T182" s="10">
        <v>5034.57</v>
      </c>
      <c r="U182" s="11">
        <f t="shared" si="2"/>
        <v>4491.1418376449592</v>
      </c>
      <c r="V182" s="10">
        <v>73.38</v>
      </c>
      <c r="W182" s="10">
        <v>49.93</v>
      </c>
      <c r="X182" s="7">
        <v>1</v>
      </c>
    </row>
    <row r="183" spans="1:24" hidden="1" x14ac:dyDescent="0.25">
      <c r="A183" s="3">
        <v>2025</v>
      </c>
      <c r="B183" s="2" t="s">
        <v>345</v>
      </c>
      <c r="C183" s="6" t="s">
        <v>64</v>
      </c>
      <c r="D183" s="6" t="s">
        <v>65</v>
      </c>
      <c r="E183" s="6" t="s">
        <v>25</v>
      </c>
      <c r="F183" s="7" t="s">
        <v>380</v>
      </c>
      <c r="G183" s="7">
        <v>408</v>
      </c>
      <c r="H183" s="6">
        <v>8</v>
      </c>
      <c r="I183" s="7">
        <v>4</v>
      </c>
      <c r="J183" s="6">
        <v>3</v>
      </c>
      <c r="K183" s="6">
        <v>9</v>
      </c>
      <c r="L183" s="7" t="s">
        <v>252</v>
      </c>
      <c r="M183" s="8" t="s">
        <v>253</v>
      </c>
      <c r="N183" s="9" t="s">
        <v>57</v>
      </c>
      <c r="O183" s="9" t="s">
        <v>257</v>
      </c>
      <c r="P183" s="10">
        <v>7.61</v>
      </c>
      <c r="Q183" s="10">
        <v>11.5</v>
      </c>
      <c r="R183" s="10">
        <v>37.299999999999997</v>
      </c>
      <c r="S183" s="10">
        <v>4471.2299999999996</v>
      </c>
      <c r="T183" s="10">
        <v>5011.58</v>
      </c>
      <c r="U183" s="11">
        <f t="shared" si="2"/>
        <v>4470.6333630686886</v>
      </c>
      <c r="V183" s="10">
        <v>72.84</v>
      </c>
      <c r="W183" s="10">
        <v>45.52</v>
      </c>
      <c r="X183" s="7">
        <v>2</v>
      </c>
    </row>
    <row r="184" spans="1:24" hidden="1" x14ac:dyDescent="0.25">
      <c r="A184" s="3">
        <v>2025</v>
      </c>
      <c r="B184" s="2" t="s">
        <v>345</v>
      </c>
      <c r="C184" s="6" t="s">
        <v>64</v>
      </c>
      <c r="D184" s="6" t="s">
        <v>65</v>
      </c>
      <c r="E184" s="6" t="s">
        <v>25</v>
      </c>
      <c r="F184" s="7" t="s">
        <v>381</v>
      </c>
      <c r="G184" s="7">
        <v>409</v>
      </c>
      <c r="H184" s="6">
        <v>9</v>
      </c>
      <c r="I184" s="7">
        <v>4</v>
      </c>
      <c r="J184" s="6">
        <v>3</v>
      </c>
      <c r="K184" s="6">
        <v>20</v>
      </c>
      <c r="L184" s="7" t="s">
        <v>252</v>
      </c>
      <c r="M184" s="8" t="s">
        <v>254</v>
      </c>
      <c r="N184" s="9" t="s">
        <v>61</v>
      </c>
      <c r="O184" s="9" t="s">
        <v>258</v>
      </c>
      <c r="P184" s="10">
        <v>6.85</v>
      </c>
      <c r="Q184" s="10">
        <v>11.7</v>
      </c>
      <c r="R184" s="10">
        <v>35.799999999999997</v>
      </c>
      <c r="S184" s="10">
        <v>4015.6</v>
      </c>
      <c r="T184" s="10">
        <v>4500.8900000000003</v>
      </c>
      <c r="U184" s="11">
        <f t="shared" si="2"/>
        <v>4015.0669045495097</v>
      </c>
      <c r="V184" s="10">
        <v>71.98</v>
      </c>
      <c r="W184" s="10">
        <v>44.03</v>
      </c>
      <c r="X184" s="7">
        <v>2</v>
      </c>
    </row>
    <row r="185" spans="1:24" hidden="1" x14ac:dyDescent="0.25">
      <c r="A185" s="3">
        <v>2025</v>
      </c>
      <c r="B185" s="2" t="s">
        <v>345</v>
      </c>
      <c r="C185" s="6" t="s">
        <v>64</v>
      </c>
      <c r="D185" s="6" t="s">
        <v>65</v>
      </c>
      <c r="E185" s="6" t="s">
        <v>25</v>
      </c>
      <c r="F185" s="7" t="s">
        <v>382</v>
      </c>
      <c r="G185" s="7">
        <v>502</v>
      </c>
      <c r="H185" s="6">
        <v>2</v>
      </c>
      <c r="I185" s="7">
        <v>5</v>
      </c>
      <c r="J185" s="6">
        <v>1</v>
      </c>
      <c r="K185" s="6">
        <v>11</v>
      </c>
      <c r="L185" s="7" t="s">
        <v>252</v>
      </c>
      <c r="M185" s="8" t="s">
        <v>253</v>
      </c>
      <c r="N185" s="9" t="s">
        <v>60</v>
      </c>
      <c r="O185" s="9" t="s">
        <v>257</v>
      </c>
      <c r="P185" s="10">
        <v>8.1</v>
      </c>
      <c r="Q185" s="10">
        <v>12.8</v>
      </c>
      <c r="R185" s="10">
        <v>40.799999999999997</v>
      </c>
      <c r="S185" s="10">
        <v>4689.22</v>
      </c>
      <c r="T185" s="10">
        <v>5255.91</v>
      </c>
      <c r="U185" s="11">
        <f t="shared" si="2"/>
        <v>4688.5905441570021</v>
      </c>
      <c r="V185" s="10">
        <v>73.22</v>
      </c>
      <c r="W185" s="10">
        <v>51.98</v>
      </c>
      <c r="X185" s="7">
        <v>2</v>
      </c>
    </row>
    <row r="186" spans="1:24" hidden="1" x14ac:dyDescent="0.25">
      <c r="A186" s="3">
        <v>2025</v>
      </c>
      <c r="B186" s="2" t="s">
        <v>345</v>
      </c>
      <c r="C186" s="6" t="s">
        <v>64</v>
      </c>
      <c r="D186" s="6" t="s">
        <v>65</v>
      </c>
      <c r="E186" s="6" t="s">
        <v>25</v>
      </c>
      <c r="F186" s="7" t="s">
        <v>383</v>
      </c>
      <c r="G186" s="7">
        <v>503</v>
      </c>
      <c r="H186" s="6">
        <v>3</v>
      </c>
      <c r="I186" s="7">
        <v>5</v>
      </c>
      <c r="J186" s="6">
        <v>1</v>
      </c>
      <c r="K186" s="6">
        <v>2</v>
      </c>
      <c r="L186" s="7" t="s">
        <v>252</v>
      </c>
      <c r="M186" s="8" t="s">
        <v>469</v>
      </c>
      <c r="N186" s="8" t="s">
        <v>469</v>
      </c>
      <c r="O186" s="8" t="s">
        <v>469</v>
      </c>
      <c r="P186" s="10">
        <v>8.1199999999999992</v>
      </c>
      <c r="Q186" s="10">
        <v>11.9</v>
      </c>
      <c r="R186" s="10">
        <v>39.6</v>
      </c>
      <c r="S186" s="10">
        <v>4749.32</v>
      </c>
      <c r="T186" s="10">
        <v>5323.27</v>
      </c>
      <c r="U186" s="11">
        <f t="shared" si="2"/>
        <v>4748.6797502230156</v>
      </c>
      <c r="V186" s="10">
        <v>72.84</v>
      </c>
      <c r="W186" s="10">
        <v>47.01</v>
      </c>
      <c r="X186" s="7">
        <v>2</v>
      </c>
    </row>
    <row r="187" spans="1:24" hidden="1" x14ac:dyDescent="0.25">
      <c r="A187" s="3">
        <v>2025</v>
      </c>
      <c r="B187" s="2" t="s">
        <v>345</v>
      </c>
      <c r="C187" s="6" t="s">
        <v>64</v>
      </c>
      <c r="D187" s="6" t="s">
        <v>65</v>
      </c>
      <c r="E187" s="6" t="s">
        <v>25</v>
      </c>
      <c r="F187" s="7" t="s">
        <v>384</v>
      </c>
      <c r="G187" s="7">
        <v>504</v>
      </c>
      <c r="H187" s="6">
        <v>4</v>
      </c>
      <c r="I187" s="7">
        <v>5</v>
      </c>
      <c r="J187" s="6">
        <v>2</v>
      </c>
      <c r="K187" s="6">
        <v>12</v>
      </c>
      <c r="L187" s="7" t="s">
        <v>252</v>
      </c>
      <c r="M187" s="8" t="s">
        <v>253</v>
      </c>
      <c r="N187" s="9" t="s">
        <v>62</v>
      </c>
      <c r="O187" s="9" t="s">
        <v>257</v>
      </c>
      <c r="P187" s="10">
        <v>8.85</v>
      </c>
      <c r="Q187" s="10">
        <v>12.6</v>
      </c>
      <c r="R187" s="10">
        <v>41.3</v>
      </c>
      <c r="S187" s="10">
        <v>5135.16</v>
      </c>
      <c r="T187" s="10">
        <v>5755.74</v>
      </c>
      <c r="U187" s="11">
        <f t="shared" si="2"/>
        <v>5134.4692239072256</v>
      </c>
      <c r="V187" s="10">
        <v>74.31</v>
      </c>
      <c r="W187" s="10">
        <v>53.22</v>
      </c>
      <c r="X187" s="7">
        <v>2</v>
      </c>
    </row>
    <row r="188" spans="1:24" hidden="1" x14ac:dyDescent="0.25">
      <c r="A188" s="3">
        <v>2025</v>
      </c>
      <c r="B188" s="2" t="s">
        <v>345</v>
      </c>
      <c r="C188" s="6" t="s">
        <v>64</v>
      </c>
      <c r="D188" s="6" t="s">
        <v>65</v>
      </c>
      <c r="E188" s="6" t="s">
        <v>25</v>
      </c>
      <c r="F188" s="7" t="s">
        <v>385</v>
      </c>
      <c r="G188" s="7">
        <v>505</v>
      </c>
      <c r="H188" s="6">
        <v>5</v>
      </c>
      <c r="I188" s="7">
        <v>5</v>
      </c>
      <c r="J188" s="6">
        <v>2</v>
      </c>
      <c r="K188" s="6">
        <v>18</v>
      </c>
      <c r="L188" s="7" t="s">
        <v>252</v>
      </c>
      <c r="M188" s="8" t="s">
        <v>254</v>
      </c>
      <c r="N188" s="9" t="s">
        <v>62</v>
      </c>
      <c r="O188" s="9" t="s">
        <v>258</v>
      </c>
      <c r="P188" s="10">
        <v>8.16</v>
      </c>
      <c r="Q188" s="10">
        <v>12.9</v>
      </c>
      <c r="R188" s="10">
        <v>40.299999999999997</v>
      </c>
      <c r="S188" s="10">
        <v>4718.54</v>
      </c>
      <c r="T188" s="10">
        <v>5288.78</v>
      </c>
      <c r="U188" s="11">
        <f t="shared" si="2"/>
        <v>4717.9125780553077</v>
      </c>
      <c r="V188" s="10">
        <v>74.59</v>
      </c>
      <c r="W188" s="10">
        <v>53.72</v>
      </c>
      <c r="X188" s="7">
        <v>2</v>
      </c>
    </row>
    <row r="189" spans="1:24" hidden="1" x14ac:dyDescent="0.25">
      <c r="A189" s="3">
        <v>2025</v>
      </c>
      <c r="B189" s="2" t="s">
        <v>345</v>
      </c>
      <c r="C189" s="6" t="s">
        <v>64</v>
      </c>
      <c r="D189" s="6" t="s">
        <v>65</v>
      </c>
      <c r="E189" s="6" t="s">
        <v>25</v>
      </c>
      <c r="F189" s="7" t="s">
        <v>386</v>
      </c>
      <c r="G189" s="7">
        <v>506</v>
      </c>
      <c r="H189" s="6">
        <v>6</v>
      </c>
      <c r="I189" s="7">
        <v>5</v>
      </c>
      <c r="J189" s="6">
        <v>2</v>
      </c>
      <c r="K189" s="6">
        <v>20</v>
      </c>
      <c r="L189" s="7" t="s">
        <v>252</v>
      </c>
      <c r="M189" s="8" t="s">
        <v>254</v>
      </c>
      <c r="N189" s="9" t="s">
        <v>61</v>
      </c>
      <c r="O189" s="9" t="s">
        <v>258</v>
      </c>
      <c r="P189" s="10">
        <v>8.19</v>
      </c>
      <c r="Q189" s="10">
        <v>12.1</v>
      </c>
      <c r="R189" s="10">
        <v>39.700000000000003</v>
      </c>
      <c r="S189" s="10">
        <v>4779.3900000000003</v>
      </c>
      <c r="T189" s="10">
        <v>5356.97</v>
      </c>
      <c r="U189" s="11">
        <f t="shared" si="2"/>
        <v>4778.7421944692242</v>
      </c>
      <c r="V189" s="10">
        <v>73.900000000000006</v>
      </c>
      <c r="W189" s="10">
        <v>51.34</v>
      </c>
      <c r="X189" s="7">
        <v>2</v>
      </c>
    </row>
    <row r="190" spans="1:24" hidden="1" x14ac:dyDescent="0.25">
      <c r="A190" s="3">
        <v>2025</v>
      </c>
      <c r="B190" s="2" t="s">
        <v>345</v>
      </c>
      <c r="C190" s="6" t="s">
        <v>64</v>
      </c>
      <c r="D190" s="6" t="s">
        <v>65</v>
      </c>
      <c r="E190" s="6" t="s">
        <v>25</v>
      </c>
      <c r="F190" s="7" t="s">
        <v>387</v>
      </c>
      <c r="G190" s="7">
        <v>507</v>
      </c>
      <c r="H190" s="6">
        <v>7</v>
      </c>
      <c r="I190" s="7">
        <v>5</v>
      </c>
      <c r="J190" s="6">
        <v>3</v>
      </c>
      <c r="K190" s="6">
        <v>3</v>
      </c>
      <c r="L190" s="7" t="s">
        <v>252</v>
      </c>
      <c r="M190" s="8" t="s">
        <v>31</v>
      </c>
      <c r="N190" s="9" t="s">
        <v>57</v>
      </c>
      <c r="O190" s="9" t="s">
        <v>259</v>
      </c>
      <c r="P190" s="10">
        <v>7.73</v>
      </c>
      <c r="Q190" s="10">
        <v>11.7</v>
      </c>
      <c r="R190" s="10">
        <v>38.4</v>
      </c>
      <c r="S190" s="10">
        <v>4531.47</v>
      </c>
      <c r="T190" s="10">
        <v>5079.1000000000004</v>
      </c>
      <c r="U190" s="11">
        <f t="shared" si="2"/>
        <v>4530.8652988403219</v>
      </c>
      <c r="V190" s="10">
        <v>72.5</v>
      </c>
      <c r="W190" s="10">
        <v>43.55</v>
      </c>
      <c r="X190" s="7">
        <v>2</v>
      </c>
    </row>
    <row r="191" spans="1:24" hidden="1" x14ac:dyDescent="0.25">
      <c r="A191" s="3">
        <v>2025</v>
      </c>
      <c r="B191" s="2" t="s">
        <v>345</v>
      </c>
      <c r="C191" s="6" t="s">
        <v>64</v>
      </c>
      <c r="D191" s="6" t="s">
        <v>65</v>
      </c>
      <c r="E191" s="6" t="s">
        <v>25</v>
      </c>
      <c r="F191" s="7" t="s">
        <v>388</v>
      </c>
      <c r="G191" s="7">
        <v>508</v>
      </c>
      <c r="H191" s="6">
        <v>8</v>
      </c>
      <c r="I191" s="7">
        <v>5</v>
      </c>
      <c r="J191" s="6">
        <v>3</v>
      </c>
      <c r="K191" s="6">
        <v>1</v>
      </c>
      <c r="L191" s="7" t="s">
        <v>252</v>
      </c>
      <c r="M191" s="8" t="s">
        <v>469</v>
      </c>
      <c r="N191" s="8" t="s">
        <v>469</v>
      </c>
      <c r="O191" s="8" t="s">
        <v>469</v>
      </c>
      <c r="P191" s="10">
        <v>7.13</v>
      </c>
      <c r="Q191" s="10">
        <v>11.3</v>
      </c>
      <c r="R191" s="10">
        <v>35.6</v>
      </c>
      <c r="S191" s="10">
        <v>4198.68</v>
      </c>
      <c r="T191" s="10">
        <v>4706.09</v>
      </c>
      <c r="U191" s="11">
        <f t="shared" si="2"/>
        <v>4198.1177520071369</v>
      </c>
      <c r="V191" s="10">
        <v>72.819999999999993</v>
      </c>
      <c r="W191" s="10">
        <v>43.85</v>
      </c>
      <c r="X191" s="7">
        <v>3</v>
      </c>
    </row>
    <row r="192" spans="1:24" hidden="1" x14ac:dyDescent="0.25">
      <c r="A192" s="3">
        <v>2025</v>
      </c>
      <c r="B192" s="2" t="s">
        <v>345</v>
      </c>
      <c r="C192" s="6" t="s">
        <v>64</v>
      </c>
      <c r="D192" s="6" t="s">
        <v>65</v>
      </c>
      <c r="E192" s="6" t="s">
        <v>25</v>
      </c>
      <c r="F192" s="7" t="s">
        <v>389</v>
      </c>
      <c r="G192" s="7">
        <v>509</v>
      </c>
      <c r="H192" s="6">
        <v>9</v>
      </c>
      <c r="I192" s="7">
        <v>5</v>
      </c>
      <c r="J192" s="6">
        <v>3</v>
      </c>
      <c r="K192" s="6">
        <v>2</v>
      </c>
      <c r="L192" s="7" t="s">
        <v>252</v>
      </c>
      <c r="M192" s="8" t="s">
        <v>469</v>
      </c>
      <c r="N192" s="8" t="s">
        <v>469</v>
      </c>
      <c r="O192" s="8" t="s">
        <v>469</v>
      </c>
      <c r="P192" s="10">
        <v>6.29</v>
      </c>
      <c r="Q192" s="10">
        <v>11.4</v>
      </c>
      <c r="R192" s="10">
        <v>37</v>
      </c>
      <c r="S192" s="10">
        <v>3699.85</v>
      </c>
      <c r="T192" s="10">
        <v>4146.97</v>
      </c>
      <c r="U192" s="11">
        <f t="shared" si="2"/>
        <v>3699.3487957181092</v>
      </c>
      <c r="V192" s="10">
        <v>70.790000000000006</v>
      </c>
      <c r="W192" s="10">
        <v>42.66</v>
      </c>
      <c r="X192" s="7">
        <v>2</v>
      </c>
    </row>
    <row r="193" spans="1:24" hidden="1" x14ac:dyDescent="0.25">
      <c r="A193" s="3">
        <v>2025</v>
      </c>
      <c r="B193" s="2" t="s">
        <v>345</v>
      </c>
      <c r="C193" s="6" t="s">
        <v>64</v>
      </c>
      <c r="D193" s="6" t="s">
        <v>65</v>
      </c>
      <c r="E193" s="6" t="s">
        <v>25</v>
      </c>
      <c r="F193" s="7" t="s">
        <v>390</v>
      </c>
      <c r="G193" s="7">
        <v>602</v>
      </c>
      <c r="H193" s="6">
        <v>2</v>
      </c>
      <c r="I193" s="7">
        <v>6</v>
      </c>
      <c r="J193" s="6">
        <v>1</v>
      </c>
      <c r="K193" s="6">
        <v>5</v>
      </c>
      <c r="L193" s="7" t="s">
        <v>252</v>
      </c>
      <c r="M193" s="8" t="s">
        <v>31</v>
      </c>
      <c r="N193" s="9" t="s">
        <v>60</v>
      </c>
      <c r="O193" s="9" t="s">
        <v>259</v>
      </c>
      <c r="P193" s="10">
        <v>8.7899999999999991</v>
      </c>
      <c r="Q193" s="10">
        <v>12.2</v>
      </c>
      <c r="R193" s="10">
        <v>40.6</v>
      </c>
      <c r="S193" s="10">
        <v>5123.6899999999996</v>
      </c>
      <c r="T193" s="10">
        <v>5742.89</v>
      </c>
      <c r="U193" s="11">
        <f t="shared" si="2"/>
        <v>5123.0062444246214</v>
      </c>
      <c r="V193" s="10">
        <v>73.56</v>
      </c>
      <c r="W193" s="10">
        <v>49.7</v>
      </c>
      <c r="X193" s="7">
        <v>2</v>
      </c>
    </row>
    <row r="194" spans="1:24" hidden="1" x14ac:dyDescent="0.25">
      <c r="A194" s="3">
        <v>2025</v>
      </c>
      <c r="B194" s="2" t="s">
        <v>345</v>
      </c>
      <c r="C194" s="6" t="s">
        <v>64</v>
      </c>
      <c r="D194" s="6" t="s">
        <v>65</v>
      </c>
      <c r="E194" s="6" t="s">
        <v>25</v>
      </c>
      <c r="F194" s="7" t="s">
        <v>391</v>
      </c>
      <c r="G194" s="7">
        <v>603</v>
      </c>
      <c r="H194" s="6">
        <v>3</v>
      </c>
      <c r="I194" s="7">
        <v>6</v>
      </c>
      <c r="J194" s="6">
        <v>1</v>
      </c>
      <c r="K194" s="6">
        <v>8</v>
      </c>
      <c r="L194" s="7" t="s">
        <v>252</v>
      </c>
      <c r="M194" s="8" t="s">
        <v>31</v>
      </c>
      <c r="N194" s="9" t="s">
        <v>61</v>
      </c>
      <c r="O194" s="9" t="s">
        <v>259</v>
      </c>
      <c r="P194" s="10">
        <v>8.14</v>
      </c>
      <c r="Q194" s="10">
        <v>12.5</v>
      </c>
      <c r="R194" s="10">
        <v>40.200000000000003</v>
      </c>
      <c r="S194" s="10">
        <v>4728.59</v>
      </c>
      <c r="T194" s="10">
        <v>5300.04</v>
      </c>
      <c r="U194" s="11">
        <f t="shared" si="2"/>
        <v>4727.9571810883144</v>
      </c>
      <c r="V194" s="10">
        <v>74.06</v>
      </c>
      <c r="W194" s="10">
        <v>51.3</v>
      </c>
      <c r="X194" s="7">
        <v>2</v>
      </c>
    </row>
    <row r="195" spans="1:24" hidden="1" x14ac:dyDescent="0.25">
      <c r="A195" s="3">
        <v>2025</v>
      </c>
      <c r="B195" s="2" t="s">
        <v>345</v>
      </c>
      <c r="C195" s="6" t="s">
        <v>64</v>
      </c>
      <c r="D195" s="6" t="s">
        <v>65</v>
      </c>
      <c r="E195" s="6" t="s">
        <v>25</v>
      </c>
      <c r="F195" s="7" t="s">
        <v>392</v>
      </c>
      <c r="G195" s="7">
        <v>604</v>
      </c>
      <c r="H195" s="6">
        <v>4</v>
      </c>
      <c r="I195" s="7">
        <v>6</v>
      </c>
      <c r="J195" s="6">
        <v>2</v>
      </c>
      <c r="K195" s="6">
        <v>19</v>
      </c>
      <c r="L195" s="7" t="s">
        <v>252</v>
      </c>
      <c r="M195" s="8" t="s">
        <v>254</v>
      </c>
      <c r="N195" s="9" t="s">
        <v>59</v>
      </c>
      <c r="O195" s="9" t="s">
        <v>258</v>
      </c>
      <c r="P195" s="10">
        <v>8.6999999999999993</v>
      </c>
      <c r="Q195" s="10">
        <v>12.8</v>
      </c>
      <c r="R195" s="10">
        <v>40.6</v>
      </c>
      <c r="S195" s="10">
        <v>5036.57</v>
      </c>
      <c r="T195" s="10">
        <v>5645.24</v>
      </c>
      <c r="U195" s="11">
        <f t="shared" ref="U195:U258" si="3">T195/1.121</f>
        <v>5035.8965209634252</v>
      </c>
      <c r="V195" s="10">
        <v>75</v>
      </c>
      <c r="W195" s="10">
        <v>54.95</v>
      </c>
      <c r="X195" s="7">
        <v>1</v>
      </c>
    </row>
    <row r="196" spans="1:24" hidden="1" x14ac:dyDescent="0.25">
      <c r="A196" s="3">
        <v>2025</v>
      </c>
      <c r="B196" s="2" t="s">
        <v>345</v>
      </c>
      <c r="C196" s="6" t="s">
        <v>64</v>
      </c>
      <c r="D196" s="6" t="s">
        <v>65</v>
      </c>
      <c r="E196" s="6" t="s">
        <v>25</v>
      </c>
      <c r="F196" s="7" t="s">
        <v>393</v>
      </c>
      <c r="G196" s="7">
        <v>605</v>
      </c>
      <c r="H196" s="6">
        <v>5</v>
      </c>
      <c r="I196" s="7">
        <v>6</v>
      </c>
      <c r="J196" s="6">
        <v>2</v>
      </c>
      <c r="K196" s="6">
        <v>15</v>
      </c>
      <c r="L196" s="7" t="s">
        <v>252</v>
      </c>
      <c r="M196" s="8" t="s">
        <v>254</v>
      </c>
      <c r="N196" s="9" t="s">
        <v>57</v>
      </c>
      <c r="O196" s="9" t="s">
        <v>258</v>
      </c>
      <c r="P196" s="10">
        <v>8.6300000000000008</v>
      </c>
      <c r="Q196" s="10">
        <v>12.6</v>
      </c>
      <c r="R196" s="10">
        <v>40.9</v>
      </c>
      <c r="S196" s="10">
        <v>5007.51</v>
      </c>
      <c r="T196" s="10">
        <v>5612.66</v>
      </c>
      <c r="U196" s="11">
        <f t="shared" si="3"/>
        <v>5006.8331846565561</v>
      </c>
      <c r="V196" s="10">
        <v>74.27</v>
      </c>
      <c r="W196" s="10">
        <v>51.31</v>
      </c>
      <c r="X196" s="7">
        <v>2</v>
      </c>
    </row>
    <row r="197" spans="1:24" hidden="1" x14ac:dyDescent="0.25">
      <c r="A197" s="3">
        <v>2025</v>
      </c>
      <c r="B197" s="2" t="s">
        <v>345</v>
      </c>
      <c r="C197" s="6" t="s">
        <v>64</v>
      </c>
      <c r="D197" s="6" t="s">
        <v>65</v>
      </c>
      <c r="E197" s="6" t="s">
        <v>25</v>
      </c>
      <c r="F197" s="7" t="s">
        <v>394</v>
      </c>
      <c r="G197" s="7">
        <v>606</v>
      </c>
      <c r="H197" s="6">
        <v>6</v>
      </c>
      <c r="I197" s="7">
        <v>6</v>
      </c>
      <c r="J197" s="6">
        <v>2</v>
      </c>
      <c r="K197" s="6">
        <v>14</v>
      </c>
      <c r="L197" s="7" t="s">
        <v>252</v>
      </c>
      <c r="M197" s="8" t="s">
        <v>253</v>
      </c>
      <c r="N197" s="9" t="s">
        <v>61</v>
      </c>
      <c r="O197" s="9" t="s">
        <v>257</v>
      </c>
      <c r="P197" s="10">
        <v>8.19</v>
      </c>
      <c r="Q197" s="10">
        <v>12.3</v>
      </c>
      <c r="R197" s="10">
        <v>40.1</v>
      </c>
      <c r="S197" s="10">
        <v>4768.51</v>
      </c>
      <c r="T197" s="10">
        <v>5344.79</v>
      </c>
      <c r="U197" s="11">
        <f t="shared" si="3"/>
        <v>4767.8768956289032</v>
      </c>
      <c r="V197" s="10">
        <v>74.48</v>
      </c>
      <c r="W197" s="10">
        <v>50.71</v>
      </c>
      <c r="X197" s="7">
        <v>2</v>
      </c>
    </row>
    <row r="198" spans="1:24" hidden="1" x14ac:dyDescent="0.25">
      <c r="A198" s="3">
        <v>2025</v>
      </c>
      <c r="B198" s="2" t="s">
        <v>345</v>
      </c>
      <c r="C198" s="6" t="s">
        <v>64</v>
      </c>
      <c r="D198" s="6" t="s">
        <v>65</v>
      </c>
      <c r="E198" s="6" t="s">
        <v>25</v>
      </c>
      <c r="F198" s="7" t="s">
        <v>395</v>
      </c>
      <c r="G198" s="7">
        <v>607</v>
      </c>
      <c r="H198" s="6">
        <v>7</v>
      </c>
      <c r="I198" s="7">
        <v>6</v>
      </c>
      <c r="J198" s="6">
        <v>3</v>
      </c>
      <c r="K198" s="6">
        <v>14</v>
      </c>
      <c r="L198" s="7" t="s">
        <v>252</v>
      </c>
      <c r="M198" s="8" t="s">
        <v>253</v>
      </c>
      <c r="N198" s="9" t="s">
        <v>61</v>
      </c>
      <c r="O198" s="9" t="s">
        <v>257</v>
      </c>
      <c r="P198" s="10">
        <v>7.52</v>
      </c>
      <c r="Q198" s="10">
        <v>11.8</v>
      </c>
      <c r="R198" s="10">
        <v>39</v>
      </c>
      <c r="S198" s="10">
        <v>4403.38</v>
      </c>
      <c r="T198" s="10">
        <v>4935.5200000000004</v>
      </c>
      <c r="U198" s="11">
        <f t="shared" si="3"/>
        <v>4402.7832292595904</v>
      </c>
      <c r="V198" s="10">
        <v>74.290000000000006</v>
      </c>
      <c r="W198" s="10">
        <v>50.69</v>
      </c>
      <c r="X198" s="7">
        <v>1</v>
      </c>
    </row>
    <row r="199" spans="1:24" hidden="1" x14ac:dyDescent="0.25">
      <c r="A199" s="3">
        <v>2025</v>
      </c>
      <c r="B199" s="2" t="s">
        <v>345</v>
      </c>
      <c r="C199" s="6" t="s">
        <v>64</v>
      </c>
      <c r="D199" s="6" t="s">
        <v>65</v>
      </c>
      <c r="E199" s="6" t="s">
        <v>25</v>
      </c>
      <c r="F199" s="7" t="s">
        <v>396</v>
      </c>
      <c r="G199" s="7">
        <v>608</v>
      </c>
      <c r="H199" s="6">
        <v>8</v>
      </c>
      <c r="I199" s="7">
        <v>6</v>
      </c>
      <c r="J199" s="6">
        <v>3</v>
      </c>
      <c r="K199" s="6">
        <v>16</v>
      </c>
      <c r="L199" s="7" t="s">
        <v>252</v>
      </c>
      <c r="M199" s="8" t="s">
        <v>254</v>
      </c>
      <c r="N199" s="9" t="s">
        <v>58</v>
      </c>
      <c r="O199" s="9" t="s">
        <v>258</v>
      </c>
      <c r="P199" s="10">
        <v>7.91</v>
      </c>
      <c r="Q199" s="10">
        <v>12.2</v>
      </c>
      <c r="R199" s="10">
        <v>40.200000000000003</v>
      </c>
      <c r="S199" s="10">
        <v>4610.74</v>
      </c>
      <c r="T199" s="10">
        <v>5167.9399999999996</v>
      </c>
      <c r="U199" s="11">
        <f t="shared" si="3"/>
        <v>4610.1159678858157</v>
      </c>
      <c r="V199" s="10">
        <v>73.03</v>
      </c>
      <c r="W199" s="10">
        <v>48.55</v>
      </c>
      <c r="X199" s="7">
        <v>2</v>
      </c>
    </row>
    <row r="200" spans="1:24" hidden="1" x14ac:dyDescent="0.25">
      <c r="A200" s="3">
        <v>2025</v>
      </c>
      <c r="B200" s="2" t="s">
        <v>345</v>
      </c>
      <c r="C200" s="6" t="s">
        <v>64</v>
      </c>
      <c r="D200" s="6" t="s">
        <v>65</v>
      </c>
      <c r="E200" s="6" t="s">
        <v>25</v>
      </c>
      <c r="F200" s="7" t="s">
        <v>397</v>
      </c>
      <c r="G200" s="7">
        <v>609</v>
      </c>
      <c r="H200" s="6">
        <v>9</v>
      </c>
      <c r="I200" s="7">
        <v>6</v>
      </c>
      <c r="J200" s="6">
        <v>3</v>
      </c>
      <c r="K200" s="6">
        <v>17</v>
      </c>
      <c r="L200" s="7" t="s">
        <v>252</v>
      </c>
      <c r="M200" s="8" t="s">
        <v>254</v>
      </c>
      <c r="N200" s="9" t="s">
        <v>60</v>
      </c>
      <c r="O200" s="9" t="s">
        <v>258</v>
      </c>
      <c r="P200" s="10">
        <v>7.69</v>
      </c>
      <c r="Q200" s="10">
        <v>12.6</v>
      </c>
      <c r="R200" s="10">
        <v>39.5</v>
      </c>
      <c r="S200" s="10">
        <v>4462.08</v>
      </c>
      <c r="T200" s="10">
        <v>5001.32</v>
      </c>
      <c r="U200" s="11">
        <f t="shared" si="3"/>
        <v>4461.4808206958069</v>
      </c>
      <c r="V200" s="10">
        <v>72.61</v>
      </c>
      <c r="W200" s="10">
        <v>48.18</v>
      </c>
      <c r="X200" s="7">
        <v>1</v>
      </c>
    </row>
    <row r="201" spans="1:24" hidden="1" x14ac:dyDescent="0.25">
      <c r="A201" s="3">
        <v>2025</v>
      </c>
      <c r="B201" s="2" t="s">
        <v>345</v>
      </c>
      <c r="C201" s="6" t="s">
        <v>64</v>
      </c>
      <c r="D201" s="6" t="s">
        <v>65</v>
      </c>
      <c r="E201" s="6" t="s">
        <v>25</v>
      </c>
      <c r="F201" s="7" t="s">
        <v>398</v>
      </c>
      <c r="G201" s="7">
        <v>702</v>
      </c>
      <c r="H201" s="6">
        <v>2</v>
      </c>
      <c r="I201" s="7">
        <v>7</v>
      </c>
      <c r="J201" s="6">
        <v>1</v>
      </c>
      <c r="K201" s="6">
        <v>1</v>
      </c>
      <c r="L201" s="7" t="s">
        <v>252</v>
      </c>
      <c r="M201" s="8" t="s">
        <v>469</v>
      </c>
      <c r="N201" s="8" t="s">
        <v>469</v>
      </c>
      <c r="O201" s="8" t="s">
        <v>469</v>
      </c>
      <c r="P201" s="10">
        <v>7.62</v>
      </c>
      <c r="Q201" s="10">
        <v>11.9</v>
      </c>
      <c r="R201" s="10">
        <v>39.200000000000003</v>
      </c>
      <c r="S201" s="10">
        <v>4456.87</v>
      </c>
      <c r="T201" s="10">
        <v>4995.49</v>
      </c>
      <c r="U201" s="11">
        <f t="shared" si="3"/>
        <v>4456.2801070472788</v>
      </c>
      <c r="V201" s="10">
        <v>73.47</v>
      </c>
      <c r="W201" s="10">
        <v>49.89</v>
      </c>
      <c r="X201" s="7">
        <v>2</v>
      </c>
    </row>
    <row r="202" spans="1:24" hidden="1" x14ac:dyDescent="0.25">
      <c r="A202" s="3">
        <v>2025</v>
      </c>
      <c r="B202" s="2" t="s">
        <v>345</v>
      </c>
      <c r="C202" s="6" t="s">
        <v>64</v>
      </c>
      <c r="D202" s="6" t="s">
        <v>65</v>
      </c>
      <c r="E202" s="6" t="s">
        <v>25</v>
      </c>
      <c r="F202" s="7" t="s">
        <v>399</v>
      </c>
      <c r="G202" s="7">
        <v>703</v>
      </c>
      <c r="H202" s="6">
        <v>3</v>
      </c>
      <c r="I202" s="7">
        <v>7</v>
      </c>
      <c r="J202" s="6">
        <v>1</v>
      </c>
      <c r="K202" s="6">
        <v>17</v>
      </c>
      <c r="L202" s="7" t="s">
        <v>252</v>
      </c>
      <c r="M202" s="8" t="s">
        <v>254</v>
      </c>
      <c r="N202" s="9" t="s">
        <v>60</v>
      </c>
      <c r="O202" s="9" t="s">
        <v>258</v>
      </c>
      <c r="P202" s="10">
        <v>8.6999999999999993</v>
      </c>
      <c r="Q202" s="10">
        <v>11.8</v>
      </c>
      <c r="R202" s="10">
        <v>37.700000000000003</v>
      </c>
      <c r="S202" s="10">
        <v>5094.33</v>
      </c>
      <c r="T202" s="10">
        <v>5709.98</v>
      </c>
      <c r="U202" s="11">
        <f t="shared" si="3"/>
        <v>5093.6485280999104</v>
      </c>
      <c r="V202" s="10">
        <v>73.540000000000006</v>
      </c>
      <c r="W202" s="10">
        <v>50.62</v>
      </c>
      <c r="X202" s="7">
        <v>2</v>
      </c>
    </row>
    <row r="203" spans="1:24" hidden="1" x14ac:dyDescent="0.25">
      <c r="A203" s="3">
        <v>2025</v>
      </c>
      <c r="B203" s="2" t="s">
        <v>345</v>
      </c>
      <c r="C203" s="6" t="s">
        <v>64</v>
      </c>
      <c r="D203" s="6" t="s">
        <v>65</v>
      </c>
      <c r="E203" s="6" t="s">
        <v>25</v>
      </c>
      <c r="F203" s="7" t="s">
        <v>400</v>
      </c>
      <c r="G203" s="7">
        <v>704</v>
      </c>
      <c r="H203" s="6">
        <v>4</v>
      </c>
      <c r="I203" s="7">
        <v>7</v>
      </c>
      <c r="J203" s="6">
        <v>2</v>
      </c>
      <c r="K203" s="6">
        <v>6</v>
      </c>
      <c r="L203" s="7" t="s">
        <v>252</v>
      </c>
      <c r="M203" s="8" t="s">
        <v>31</v>
      </c>
      <c r="N203" s="9" t="s">
        <v>62</v>
      </c>
      <c r="O203" s="9" t="s">
        <v>259</v>
      </c>
      <c r="P203" s="10">
        <v>7.97</v>
      </c>
      <c r="Q203" s="10">
        <v>12.4</v>
      </c>
      <c r="R203" s="10">
        <v>39.5</v>
      </c>
      <c r="S203" s="10">
        <v>4635.13</v>
      </c>
      <c r="T203" s="10">
        <v>5195.28</v>
      </c>
      <c r="U203" s="11">
        <f t="shared" si="3"/>
        <v>4634.5049063336301</v>
      </c>
      <c r="V203" s="10">
        <v>74.790000000000006</v>
      </c>
      <c r="W203" s="10">
        <v>55.15</v>
      </c>
      <c r="X203" s="7">
        <v>1</v>
      </c>
    </row>
    <row r="204" spans="1:24" hidden="1" x14ac:dyDescent="0.25">
      <c r="A204" s="3">
        <v>2025</v>
      </c>
      <c r="B204" s="2" t="s">
        <v>345</v>
      </c>
      <c r="C204" s="6" t="s">
        <v>64</v>
      </c>
      <c r="D204" s="6" t="s">
        <v>65</v>
      </c>
      <c r="E204" s="6" t="s">
        <v>25</v>
      </c>
      <c r="F204" s="7" t="s">
        <v>401</v>
      </c>
      <c r="G204" s="7">
        <v>705</v>
      </c>
      <c r="H204" s="6">
        <v>5</v>
      </c>
      <c r="I204" s="7">
        <v>7</v>
      </c>
      <c r="J204" s="6">
        <v>2</v>
      </c>
      <c r="K204" s="6">
        <v>16</v>
      </c>
      <c r="L204" s="7" t="s">
        <v>252</v>
      </c>
      <c r="M204" s="8" t="s">
        <v>254</v>
      </c>
      <c r="N204" s="9" t="s">
        <v>58</v>
      </c>
      <c r="O204" s="9" t="s">
        <v>258</v>
      </c>
      <c r="P204" s="10">
        <v>7.9</v>
      </c>
      <c r="Q204" s="10">
        <v>12.2</v>
      </c>
      <c r="R204" s="10">
        <v>38.1</v>
      </c>
      <c r="S204" s="10">
        <v>4604.91</v>
      </c>
      <c r="T204" s="10">
        <v>5161.41</v>
      </c>
      <c r="U204" s="11">
        <f t="shared" si="3"/>
        <v>4604.2908117752004</v>
      </c>
      <c r="V204" s="10">
        <v>73.27</v>
      </c>
      <c r="W204" s="10">
        <v>51.73</v>
      </c>
      <c r="X204" s="7">
        <v>2</v>
      </c>
    </row>
    <row r="205" spans="1:24" hidden="1" x14ac:dyDescent="0.25">
      <c r="A205" s="3">
        <v>2025</v>
      </c>
      <c r="B205" s="2" t="s">
        <v>345</v>
      </c>
      <c r="C205" s="6" t="s">
        <v>64</v>
      </c>
      <c r="D205" s="6" t="s">
        <v>65</v>
      </c>
      <c r="E205" s="6" t="s">
        <v>25</v>
      </c>
      <c r="F205" s="7" t="s">
        <v>402</v>
      </c>
      <c r="G205" s="7">
        <v>706</v>
      </c>
      <c r="H205" s="6">
        <v>6</v>
      </c>
      <c r="I205" s="7">
        <v>7</v>
      </c>
      <c r="J205" s="6">
        <v>2</v>
      </c>
      <c r="K205" s="6">
        <v>9</v>
      </c>
      <c r="L205" s="7" t="s">
        <v>252</v>
      </c>
      <c r="M205" s="8" t="s">
        <v>253</v>
      </c>
      <c r="N205" s="9" t="s">
        <v>57</v>
      </c>
      <c r="O205" s="9" t="s">
        <v>257</v>
      </c>
      <c r="P205" s="10">
        <v>7.85</v>
      </c>
      <c r="Q205" s="10">
        <v>11.7</v>
      </c>
      <c r="R205" s="10">
        <v>38.9</v>
      </c>
      <c r="S205" s="10">
        <v>4601.82</v>
      </c>
      <c r="T205" s="10">
        <v>5157.95</v>
      </c>
      <c r="U205" s="11">
        <f t="shared" si="3"/>
        <v>4601.2042818911686</v>
      </c>
      <c r="V205" s="10">
        <v>73.400000000000006</v>
      </c>
      <c r="W205" s="10">
        <v>49.7</v>
      </c>
      <c r="X205" s="7">
        <v>1</v>
      </c>
    </row>
    <row r="206" spans="1:24" hidden="1" x14ac:dyDescent="0.25">
      <c r="A206" s="3">
        <v>2025</v>
      </c>
      <c r="B206" s="2" t="s">
        <v>345</v>
      </c>
      <c r="C206" s="6" t="s">
        <v>64</v>
      </c>
      <c r="D206" s="6" t="s">
        <v>65</v>
      </c>
      <c r="E206" s="6" t="s">
        <v>25</v>
      </c>
      <c r="F206" s="7" t="s">
        <v>403</v>
      </c>
      <c r="G206" s="7">
        <v>707</v>
      </c>
      <c r="H206" s="6">
        <v>7</v>
      </c>
      <c r="I206" s="7">
        <v>7</v>
      </c>
      <c r="J206" s="6">
        <v>3</v>
      </c>
      <c r="K206" s="6">
        <v>6</v>
      </c>
      <c r="L206" s="7" t="s">
        <v>252</v>
      </c>
      <c r="M206" s="8" t="s">
        <v>31</v>
      </c>
      <c r="N206" s="9" t="s">
        <v>62</v>
      </c>
      <c r="O206" s="9" t="s">
        <v>259</v>
      </c>
      <c r="P206" s="10">
        <v>7.44</v>
      </c>
      <c r="Q206" s="10">
        <v>11.9</v>
      </c>
      <c r="R206" s="10">
        <v>37.1</v>
      </c>
      <c r="S206" s="10">
        <v>4351.59</v>
      </c>
      <c r="T206" s="10">
        <v>4877.4799999999996</v>
      </c>
      <c r="U206" s="11">
        <f t="shared" si="3"/>
        <v>4351.0080285459408</v>
      </c>
      <c r="V206" s="10">
        <v>74.709999999999994</v>
      </c>
      <c r="W206" s="10">
        <v>52.75</v>
      </c>
      <c r="X206" s="7">
        <v>2</v>
      </c>
    </row>
    <row r="207" spans="1:24" hidden="1" x14ac:dyDescent="0.25">
      <c r="A207" s="3">
        <v>2025</v>
      </c>
      <c r="B207" s="2" t="s">
        <v>345</v>
      </c>
      <c r="C207" s="6" t="s">
        <v>64</v>
      </c>
      <c r="D207" s="6" t="s">
        <v>65</v>
      </c>
      <c r="E207" s="6" t="s">
        <v>25</v>
      </c>
      <c r="F207" s="7" t="s">
        <v>404</v>
      </c>
      <c r="G207" s="7">
        <v>708</v>
      </c>
      <c r="H207" s="6">
        <v>8</v>
      </c>
      <c r="I207" s="7">
        <v>7</v>
      </c>
      <c r="J207" s="6">
        <v>3</v>
      </c>
      <c r="K207" s="6">
        <v>5</v>
      </c>
      <c r="L207" s="7" t="s">
        <v>252</v>
      </c>
      <c r="M207" s="8" t="s">
        <v>31</v>
      </c>
      <c r="N207" s="9" t="s">
        <v>60</v>
      </c>
      <c r="O207" s="9" t="s">
        <v>259</v>
      </c>
      <c r="P207" s="10">
        <v>7.9</v>
      </c>
      <c r="Q207" s="10">
        <v>12.2</v>
      </c>
      <c r="R207" s="10">
        <v>39.5</v>
      </c>
      <c r="S207" s="10">
        <v>4604.91</v>
      </c>
      <c r="T207" s="10">
        <v>5161.41</v>
      </c>
      <c r="U207" s="11">
        <f t="shared" si="3"/>
        <v>4604.2908117752004</v>
      </c>
      <c r="V207" s="10">
        <v>73.89</v>
      </c>
      <c r="W207" s="10">
        <v>51.57</v>
      </c>
      <c r="X207" s="7">
        <v>2</v>
      </c>
    </row>
    <row r="208" spans="1:24" hidden="1" x14ac:dyDescent="0.25">
      <c r="A208" s="3">
        <v>2025</v>
      </c>
      <c r="B208" s="2" t="s">
        <v>345</v>
      </c>
      <c r="C208" s="6" t="s">
        <v>64</v>
      </c>
      <c r="D208" s="6" t="s">
        <v>65</v>
      </c>
      <c r="E208" s="6" t="s">
        <v>25</v>
      </c>
      <c r="F208" s="7" t="s">
        <v>405</v>
      </c>
      <c r="G208" s="7">
        <v>709</v>
      </c>
      <c r="H208" s="6">
        <v>9</v>
      </c>
      <c r="I208" s="7">
        <v>7</v>
      </c>
      <c r="J208" s="6">
        <v>3</v>
      </c>
      <c r="K208" s="6">
        <v>15</v>
      </c>
      <c r="L208" s="7" t="s">
        <v>252</v>
      </c>
      <c r="M208" s="8" t="s">
        <v>254</v>
      </c>
      <c r="N208" s="9" t="s">
        <v>57</v>
      </c>
      <c r="O208" s="9" t="s">
        <v>258</v>
      </c>
      <c r="P208" s="10">
        <v>7.94</v>
      </c>
      <c r="Q208" s="10">
        <v>11.4</v>
      </c>
      <c r="R208" s="10">
        <v>35.799999999999997</v>
      </c>
      <c r="S208" s="10">
        <v>4670.3900000000003</v>
      </c>
      <c r="T208" s="10">
        <v>5234.8100000000004</v>
      </c>
      <c r="U208" s="11">
        <f t="shared" si="3"/>
        <v>4669.7680642283676</v>
      </c>
      <c r="V208" s="10">
        <v>71.010000000000005</v>
      </c>
      <c r="W208" s="10">
        <v>44.72</v>
      </c>
      <c r="X208" s="7">
        <v>2</v>
      </c>
    </row>
    <row r="209" spans="1:24" hidden="1" x14ac:dyDescent="0.25">
      <c r="A209" s="3">
        <v>2025</v>
      </c>
      <c r="B209" s="2" t="s">
        <v>406</v>
      </c>
      <c r="C209" s="6" t="s">
        <v>91</v>
      </c>
      <c r="D209" s="6" t="s">
        <v>92</v>
      </c>
      <c r="E209" s="6" t="s">
        <v>26</v>
      </c>
      <c r="F209" s="7" t="s">
        <v>407</v>
      </c>
      <c r="G209" s="7">
        <v>101</v>
      </c>
      <c r="H209" s="6">
        <v>1</v>
      </c>
      <c r="I209" s="7">
        <v>1</v>
      </c>
      <c r="J209" s="6">
        <v>1</v>
      </c>
      <c r="K209" s="6">
        <v>3</v>
      </c>
      <c r="L209" s="7" t="s">
        <v>252</v>
      </c>
      <c r="M209" s="8" t="s">
        <v>31</v>
      </c>
      <c r="N209" s="9" t="s">
        <v>57</v>
      </c>
      <c r="O209" s="9" t="s">
        <v>259</v>
      </c>
      <c r="P209" s="10">
        <v>11.72</v>
      </c>
      <c r="Q209" s="10">
        <v>11.4</v>
      </c>
      <c r="R209" s="10">
        <v>44.8</v>
      </c>
      <c r="S209" s="10">
        <v>6893.83</v>
      </c>
      <c r="T209" s="10">
        <v>7726.95</v>
      </c>
      <c r="U209" s="11">
        <f t="shared" si="3"/>
        <v>6892.9081177520065</v>
      </c>
      <c r="V209" s="10">
        <v>73.209999999999994</v>
      </c>
      <c r="W209" s="10">
        <v>61.06</v>
      </c>
      <c r="X209" s="7">
        <v>1</v>
      </c>
    </row>
    <row r="210" spans="1:24" hidden="1" x14ac:dyDescent="0.25">
      <c r="A210" s="3">
        <v>2025</v>
      </c>
      <c r="B210" s="2" t="s">
        <v>406</v>
      </c>
      <c r="C210" s="6" t="s">
        <v>91</v>
      </c>
      <c r="D210" s="6" t="s">
        <v>92</v>
      </c>
      <c r="E210" s="6" t="s">
        <v>26</v>
      </c>
      <c r="F210" s="7" t="s">
        <v>408</v>
      </c>
      <c r="G210" s="7">
        <v>102</v>
      </c>
      <c r="H210" s="6">
        <v>2</v>
      </c>
      <c r="I210" s="7">
        <v>1</v>
      </c>
      <c r="J210" s="6">
        <v>1</v>
      </c>
      <c r="K210" s="6">
        <v>15</v>
      </c>
      <c r="L210" s="7" t="s">
        <v>252</v>
      </c>
      <c r="M210" s="8" t="s">
        <v>254</v>
      </c>
      <c r="N210" s="9" t="s">
        <v>57</v>
      </c>
      <c r="O210" s="9" t="s">
        <v>258</v>
      </c>
      <c r="P210" s="10">
        <v>13.6</v>
      </c>
      <c r="Q210" s="10">
        <v>10.7</v>
      </c>
      <c r="R210" s="10">
        <v>45</v>
      </c>
      <c r="S210" s="10">
        <v>8062.87</v>
      </c>
      <c r="T210" s="10">
        <v>9037.27</v>
      </c>
      <c r="U210" s="11">
        <f t="shared" si="3"/>
        <v>8061.7930419268514</v>
      </c>
      <c r="V210" s="10">
        <v>73.81</v>
      </c>
      <c r="W210" s="10">
        <v>62.82</v>
      </c>
      <c r="X210" s="7">
        <v>0</v>
      </c>
    </row>
    <row r="211" spans="1:24" hidden="1" x14ac:dyDescent="0.25">
      <c r="A211" s="3">
        <v>2025</v>
      </c>
      <c r="B211" s="2" t="s">
        <v>406</v>
      </c>
      <c r="C211" s="6" t="s">
        <v>91</v>
      </c>
      <c r="D211" s="6" t="s">
        <v>92</v>
      </c>
      <c r="E211" s="6" t="s">
        <v>26</v>
      </c>
      <c r="F211" s="7" t="s">
        <v>409</v>
      </c>
      <c r="G211" s="7">
        <v>103</v>
      </c>
      <c r="H211" s="6">
        <v>3</v>
      </c>
      <c r="I211" s="7">
        <v>1</v>
      </c>
      <c r="J211" s="6">
        <v>2</v>
      </c>
      <c r="K211" s="6">
        <v>2</v>
      </c>
      <c r="L211" s="7" t="s">
        <v>252</v>
      </c>
      <c r="M211" s="8" t="s">
        <v>469</v>
      </c>
      <c r="N211" s="8" t="s">
        <v>469</v>
      </c>
      <c r="O211" s="8" t="s">
        <v>469</v>
      </c>
      <c r="P211" s="10">
        <v>10.6</v>
      </c>
      <c r="Q211" s="10">
        <v>12.2</v>
      </c>
      <c r="R211" s="10">
        <v>44.4</v>
      </c>
      <c r="S211" s="10">
        <v>6178.74</v>
      </c>
      <c r="T211" s="10">
        <v>6925.44</v>
      </c>
      <c r="U211" s="11">
        <f t="shared" si="3"/>
        <v>6177.9125780553077</v>
      </c>
      <c r="V211" s="10">
        <v>74.010000000000005</v>
      </c>
      <c r="W211" s="10">
        <v>63.55</v>
      </c>
      <c r="X211" s="7">
        <v>1</v>
      </c>
    </row>
    <row r="212" spans="1:24" hidden="1" x14ac:dyDescent="0.25">
      <c r="A212" s="3">
        <v>2025</v>
      </c>
      <c r="B212" s="2" t="s">
        <v>406</v>
      </c>
      <c r="C212" s="6" t="s">
        <v>91</v>
      </c>
      <c r="D212" s="6" t="s">
        <v>92</v>
      </c>
      <c r="E212" s="6" t="s">
        <v>26</v>
      </c>
      <c r="F212" s="7" t="s">
        <v>410</v>
      </c>
      <c r="G212" s="7">
        <v>104</v>
      </c>
      <c r="H212" s="6">
        <v>4</v>
      </c>
      <c r="I212" s="7">
        <v>1</v>
      </c>
      <c r="J212" s="6">
        <v>2</v>
      </c>
      <c r="K212" s="6">
        <v>19</v>
      </c>
      <c r="L212" s="7" t="s">
        <v>252</v>
      </c>
      <c r="M212" s="8" t="s">
        <v>254</v>
      </c>
      <c r="N212" s="9" t="s">
        <v>59</v>
      </c>
      <c r="O212" s="9" t="s">
        <v>258</v>
      </c>
      <c r="P212" s="10">
        <v>13.04</v>
      </c>
      <c r="Q212" s="10">
        <v>10.4</v>
      </c>
      <c r="R212" s="10">
        <v>45.3</v>
      </c>
      <c r="S212" s="10">
        <v>7756.84</v>
      </c>
      <c r="T212" s="10">
        <v>8694.26</v>
      </c>
      <c r="U212" s="11">
        <f t="shared" si="3"/>
        <v>7755.8073148974136</v>
      </c>
      <c r="V212" s="10">
        <v>73.64</v>
      </c>
      <c r="W212" s="10">
        <v>63.35</v>
      </c>
      <c r="X212" s="7">
        <v>0</v>
      </c>
    </row>
    <row r="213" spans="1:24" hidden="1" x14ac:dyDescent="0.25">
      <c r="A213" s="3">
        <v>2025</v>
      </c>
      <c r="B213" s="2" t="s">
        <v>406</v>
      </c>
      <c r="C213" s="6" t="s">
        <v>91</v>
      </c>
      <c r="D213" s="6" t="s">
        <v>92</v>
      </c>
      <c r="E213" s="6" t="s">
        <v>26</v>
      </c>
      <c r="F213" s="7" t="s">
        <v>411</v>
      </c>
      <c r="G213" s="7">
        <v>105</v>
      </c>
      <c r="H213" s="6">
        <v>5</v>
      </c>
      <c r="I213" s="7">
        <v>1</v>
      </c>
      <c r="J213" s="6">
        <v>3</v>
      </c>
      <c r="K213" s="6">
        <v>11</v>
      </c>
      <c r="L213" s="7" t="s">
        <v>252</v>
      </c>
      <c r="M213" s="8" t="s">
        <v>253</v>
      </c>
      <c r="N213" s="9" t="s">
        <v>60</v>
      </c>
      <c r="O213" s="9" t="s">
        <v>257</v>
      </c>
      <c r="P213" s="10">
        <v>12</v>
      </c>
      <c r="Q213" s="10">
        <v>9.89</v>
      </c>
      <c r="R213" s="10">
        <v>45.3</v>
      </c>
      <c r="S213" s="10">
        <v>7178.83</v>
      </c>
      <c r="T213" s="10">
        <v>8046.39</v>
      </c>
      <c r="U213" s="11">
        <f t="shared" si="3"/>
        <v>7177.8679750223018</v>
      </c>
      <c r="V213" s="10">
        <v>73.150000000000006</v>
      </c>
      <c r="W213" s="10">
        <v>60.12</v>
      </c>
      <c r="X213" s="7">
        <v>0</v>
      </c>
    </row>
    <row r="214" spans="1:24" hidden="1" x14ac:dyDescent="0.25">
      <c r="A214" s="3">
        <v>2025</v>
      </c>
      <c r="B214" s="2" t="s">
        <v>406</v>
      </c>
      <c r="C214" s="6" t="s">
        <v>91</v>
      </c>
      <c r="D214" s="6" t="s">
        <v>92</v>
      </c>
      <c r="E214" s="6" t="s">
        <v>26</v>
      </c>
      <c r="F214" s="7" t="s">
        <v>412</v>
      </c>
      <c r="G214" s="7">
        <v>106</v>
      </c>
      <c r="H214" s="6">
        <v>6</v>
      </c>
      <c r="I214" s="7">
        <v>1</v>
      </c>
      <c r="J214" s="6">
        <v>3</v>
      </c>
      <c r="K214" s="6">
        <v>5</v>
      </c>
      <c r="L214" s="7" t="s">
        <v>252</v>
      </c>
      <c r="M214" s="8" t="s">
        <v>31</v>
      </c>
      <c r="N214" s="9" t="s">
        <v>60</v>
      </c>
      <c r="O214" s="9" t="s">
        <v>259</v>
      </c>
      <c r="P214" s="10">
        <v>12.37</v>
      </c>
      <c r="Q214" s="10">
        <v>10.5</v>
      </c>
      <c r="R214" s="10">
        <v>45.2</v>
      </c>
      <c r="S214" s="10">
        <v>7350.08</v>
      </c>
      <c r="T214" s="10">
        <v>8238.34</v>
      </c>
      <c r="U214" s="11">
        <f t="shared" si="3"/>
        <v>7349.0990187332736</v>
      </c>
      <c r="V214" s="10">
        <v>73.25</v>
      </c>
      <c r="W214" s="10">
        <v>61.12</v>
      </c>
      <c r="X214" s="7">
        <v>0</v>
      </c>
    </row>
    <row r="215" spans="1:24" hidden="1" x14ac:dyDescent="0.25">
      <c r="A215" s="3">
        <v>2025</v>
      </c>
      <c r="B215" s="2" t="s">
        <v>406</v>
      </c>
      <c r="C215" s="6" t="s">
        <v>91</v>
      </c>
      <c r="D215" s="6" t="s">
        <v>92</v>
      </c>
      <c r="E215" s="6" t="s">
        <v>26</v>
      </c>
      <c r="F215" s="7" t="s">
        <v>413</v>
      </c>
      <c r="G215" s="7">
        <v>201</v>
      </c>
      <c r="H215" s="6">
        <v>1</v>
      </c>
      <c r="I215" s="7">
        <v>2</v>
      </c>
      <c r="J215" s="6">
        <v>1</v>
      </c>
      <c r="K215" s="6">
        <v>10</v>
      </c>
      <c r="L215" s="7" t="s">
        <v>252</v>
      </c>
      <c r="M215" s="8" t="s">
        <v>253</v>
      </c>
      <c r="N215" s="9" t="s">
        <v>58</v>
      </c>
      <c r="O215" s="9" t="s">
        <v>257</v>
      </c>
      <c r="P215" s="10">
        <v>13.44</v>
      </c>
      <c r="Q215" s="10">
        <v>11.2</v>
      </c>
      <c r="R215" s="10">
        <v>44.9</v>
      </c>
      <c r="S215" s="10">
        <v>7923.4</v>
      </c>
      <c r="T215" s="10">
        <v>8880.94</v>
      </c>
      <c r="U215" s="11">
        <f t="shared" si="3"/>
        <v>7922.3371989295274</v>
      </c>
      <c r="V215" s="10">
        <v>73.23</v>
      </c>
      <c r="W215" s="10">
        <v>59.48</v>
      </c>
      <c r="X215" s="7">
        <v>0</v>
      </c>
    </row>
    <row r="216" spans="1:24" hidden="1" x14ac:dyDescent="0.25">
      <c r="A216" s="3">
        <v>2025</v>
      </c>
      <c r="B216" s="2" t="s">
        <v>406</v>
      </c>
      <c r="C216" s="6" t="s">
        <v>91</v>
      </c>
      <c r="D216" s="6" t="s">
        <v>92</v>
      </c>
      <c r="E216" s="6" t="s">
        <v>26</v>
      </c>
      <c r="F216" s="7" t="s">
        <v>414</v>
      </c>
      <c r="G216" s="7">
        <v>202</v>
      </c>
      <c r="H216" s="6">
        <v>2</v>
      </c>
      <c r="I216" s="7">
        <v>2</v>
      </c>
      <c r="J216" s="6">
        <v>1</v>
      </c>
      <c r="K216" s="6">
        <v>2</v>
      </c>
      <c r="L216" s="7" t="s">
        <v>252</v>
      </c>
      <c r="M216" s="8" t="s">
        <v>469</v>
      </c>
      <c r="N216" s="8" t="s">
        <v>469</v>
      </c>
      <c r="O216" s="8" t="s">
        <v>469</v>
      </c>
      <c r="P216" s="10">
        <v>13.29</v>
      </c>
      <c r="Q216" s="10">
        <v>10</v>
      </c>
      <c r="R216" s="10">
        <v>45.4</v>
      </c>
      <c r="S216" s="10">
        <v>7940.85</v>
      </c>
      <c r="T216" s="10">
        <v>8900.5</v>
      </c>
      <c r="U216" s="11">
        <f t="shared" si="3"/>
        <v>7939.7859054415703</v>
      </c>
      <c r="V216" s="10">
        <v>73.25</v>
      </c>
      <c r="W216" s="10">
        <v>60.72</v>
      </c>
      <c r="X216" s="7">
        <v>1</v>
      </c>
    </row>
    <row r="217" spans="1:24" hidden="1" x14ac:dyDescent="0.25">
      <c r="A217" s="3">
        <v>2025</v>
      </c>
      <c r="B217" s="2" t="s">
        <v>406</v>
      </c>
      <c r="C217" s="6" t="s">
        <v>91</v>
      </c>
      <c r="D217" s="6" t="s">
        <v>92</v>
      </c>
      <c r="E217" s="6" t="s">
        <v>26</v>
      </c>
      <c r="F217" s="7" t="s">
        <v>415</v>
      </c>
      <c r="G217" s="7">
        <v>203</v>
      </c>
      <c r="H217" s="6">
        <v>3</v>
      </c>
      <c r="I217" s="7">
        <v>2</v>
      </c>
      <c r="J217" s="6">
        <v>2</v>
      </c>
      <c r="K217" s="6">
        <v>17</v>
      </c>
      <c r="L217" s="7" t="s">
        <v>252</v>
      </c>
      <c r="M217" s="8" t="s">
        <v>254</v>
      </c>
      <c r="N217" s="9" t="s">
        <v>60</v>
      </c>
      <c r="O217" s="9" t="s">
        <v>258</v>
      </c>
      <c r="P217" s="10">
        <v>13.25</v>
      </c>
      <c r="Q217" s="10">
        <v>10.8</v>
      </c>
      <c r="R217" s="10">
        <v>45.1</v>
      </c>
      <c r="S217" s="10">
        <v>7846.57</v>
      </c>
      <c r="T217" s="10">
        <v>8794.83</v>
      </c>
      <c r="U217" s="11">
        <f t="shared" si="3"/>
        <v>7845.5218554861731</v>
      </c>
      <c r="V217" s="10">
        <v>73.14</v>
      </c>
      <c r="W217" s="10">
        <v>61.55</v>
      </c>
      <c r="X217" s="7">
        <v>2</v>
      </c>
    </row>
    <row r="218" spans="1:24" hidden="1" x14ac:dyDescent="0.25">
      <c r="A218" s="3">
        <v>2025</v>
      </c>
      <c r="B218" s="2" t="s">
        <v>406</v>
      </c>
      <c r="C218" s="6" t="s">
        <v>91</v>
      </c>
      <c r="D218" s="6" t="s">
        <v>92</v>
      </c>
      <c r="E218" s="6" t="s">
        <v>26</v>
      </c>
      <c r="F218" s="7" t="s">
        <v>416</v>
      </c>
      <c r="G218" s="7">
        <v>204</v>
      </c>
      <c r="H218" s="6">
        <v>4</v>
      </c>
      <c r="I218" s="7">
        <v>2</v>
      </c>
      <c r="J218" s="6">
        <v>2</v>
      </c>
      <c r="K218" s="6">
        <v>9</v>
      </c>
      <c r="L218" s="7" t="s">
        <v>252</v>
      </c>
      <c r="M218" s="8" t="s">
        <v>253</v>
      </c>
      <c r="N218" s="9" t="s">
        <v>57</v>
      </c>
      <c r="O218" s="9" t="s">
        <v>257</v>
      </c>
      <c r="P218" s="10">
        <v>13.84</v>
      </c>
      <c r="Q218" s="10">
        <v>11.4</v>
      </c>
      <c r="R218" s="10">
        <v>44.9</v>
      </c>
      <c r="S218" s="10">
        <v>8140.84</v>
      </c>
      <c r="T218" s="10">
        <v>9124.66</v>
      </c>
      <c r="U218" s="11">
        <f t="shared" si="3"/>
        <v>8139.7502230151649</v>
      </c>
      <c r="V218" s="10">
        <v>73.239999999999995</v>
      </c>
      <c r="W218" s="10">
        <v>60.8</v>
      </c>
      <c r="X218" s="7">
        <v>1</v>
      </c>
    </row>
    <row r="219" spans="1:24" hidden="1" x14ac:dyDescent="0.25">
      <c r="A219" s="3">
        <v>2025</v>
      </c>
      <c r="B219" s="2" t="s">
        <v>406</v>
      </c>
      <c r="C219" s="6" t="s">
        <v>91</v>
      </c>
      <c r="D219" s="6" t="s">
        <v>92</v>
      </c>
      <c r="E219" s="6" t="s">
        <v>26</v>
      </c>
      <c r="F219" s="7" t="s">
        <v>417</v>
      </c>
      <c r="G219" s="7">
        <v>205</v>
      </c>
      <c r="H219" s="6">
        <v>5</v>
      </c>
      <c r="I219" s="7">
        <v>2</v>
      </c>
      <c r="J219" s="6">
        <v>3</v>
      </c>
      <c r="K219" s="6">
        <v>19</v>
      </c>
      <c r="L219" s="7" t="s">
        <v>252</v>
      </c>
      <c r="M219" s="8" t="s">
        <v>254</v>
      </c>
      <c r="N219" s="9" t="s">
        <v>59</v>
      </c>
      <c r="O219" s="9" t="s">
        <v>258</v>
      </c>
      <c r="P219" s="10">
        <v>13.68</v>
      </c>
      <c r="Q219" s="10">
        <v>10.7</v>
      </c>
      <c r="R219" s="10">
        <v>45.1</v>
      </c>
      <c r="S219" s="10">
        <v>8110.3</v>
      </c>
      <c r="T219" s="10">
        <v>9090.43</v>
      </c>
      <c r="U219" s="11">
        <f t="shared" si="3"/>
        <v>8109.2149866190903</v>
      </c>
      <c r="V219" s="10">
        <v>73.22</v>
      </c>
      <c r="W219" s="10">
        <v>60.7</v>
      </c>
      <c r="X219" s="7">
        <v>2</v>
      </c>
    </row>
    <row r="220" spans="1:24" hidden="1" x14ac:dyDescent="0.25">
      <c r="A220" s="3">
        <v>2025</v>
      </c>
      <c r="B220" s="2" t="s">
        <v>406</v>
      </c>
      <c r="C220" s="6" t="s">
        <v>91</v>
      </c>
      <c r="D220" s="6" t="s">
        <v>92</v>
      </c>
      <c r="E220" s="6" t="s">
        <v>26</v>
      </c>
      <c r="F220" s="7" t="s">
        <v>418</v>
      </c>
      <c r="G220" s="7">
        <v>206</v>
      </c>
      <c r="H220" s="6">
        <v>6</v>
      </c>
      <c r="I220" s="7">
        <v>2</v>
      </c>
      <c r="J220" s="6">
        <v>3</v>
      </c>
      <c r="K220" s="6">
        <v>12</v>
      </c>
      <c r="L220" s="7" t="s">
        <v>252</v>
      </c>
      <c r="M220" s="8" t="s">
        <v>253</v>
      </c>
      <c r="N220" s="9" t="s">
        <v>62</v>
      </c>
      <c r="O220" s="9" t="s">
        <v>257</v>
      </c>
      <c r="P220" s="10">
        <v>12.51</v>
      </c>
      <c r="Q220" s="10">
        <v>12.8</v>
      </c>
      <c r="R220" s="10">
        <v>44</v>
      </c>
      <c r="S220" s="10">
        <v>7242.24</v>
      </c>
      <c r="T220" s="10">
        <v>8117.47</v>
      </c>
      <c r="U220" s="11">
        <f t="shared" si="3"/>
        <v>7241.2756467439785</v>
      </c>
      <c r="V220" s="10">
        <v>72.959999999999994</v>
      </c>
      <c r="W220" s="10">
        <v>60.84</v>
      </c>
      <c r="X220" s="7">
        <v>1</v>
      </c>
    </row>
    <row r="221" spans="1:24" hidden="1" x14ac:dyDescent="0.25">
      <c r="A221" s="3">
        <v>2025</v>
      </c>
      <c r="B221" s="2" t="s">
        <v>406</v>
      </c>
      <c r="C221" s="6" t="s">
        <v>91</v>
      </c>
      <c r="D221" s="6" t="s">
        <v>92</v>
      </c>
      <c r="E221" s="6" t="s">
        <v>26</v>
      </c>
      <c r="F221" s="7" t="s">
        <v>419</v>
      </c>
      <c r="G221" s="7">
        <v>301</v>
      </c>
      <c r="H221" s="6">
        <v>1</v>
      </c>
      <c r="I221" s="7">
        <v>3</v>
      </c>
      <c r="J221" s="6">
        <v>1</v>
      </c>
      <c r="K221" s="6">
        <v>12</v>
      </c>
      <c r="L221" s="7" t="s">
        <v>252</v>
      </c>
      <c r="M221" s="8" t="s">
        <v>253</v>
      </c>
      <c r="N221" s="9" t="s">
        <v>62</v>
      </c>
      <c r="O221" s="9" t="s">
        <v>257</v>
      </c>
      <c r="P221" s="10">
        <v>13.64</v>
      </c>
      <c r="Q221" s="10">
        <v>12.6</v>
      </c>
      <c r="R221" s="10">
        <v>44.2</v>
      </c>
      <c r="S221" s="10">
        <v>7914.53</v>
      </c>
      <c r="T221" s="10">
        <v>8871</v>
      </c>
      <c r="U221" s="11">
        <f t="shared" si="3"/>
        <v>7913.4701159678862</v>
      </c>
      <c r="V221" s="10">
        <v>72.900000000000006</v>
      </c>
      <c r="W221" s="10">
        <v>61.82</v>
      </c>
      <c r="X221" s="7">
        <v>1</v>
      </c>
    </row>
    <row r="222" spans="1:24" hidden="1" x14ac:dyDescent="0.25">
      <c r="A222" s="3">
        <v>2025</v>
      </c>
      <c r="B222" s="2" t="s">
        <v>406</v>
      </c>
      <c r="C222" s="6" t="s">
        <v>91</v>
      </c>
      <c r="D222" s="6" t="s">
        <v>92</v>
      </c>
      <c r="E222" s="6" t="s">
        <v>26</v>
      </c>
      <c r="F222" s="7" t="s">
        <v>420</v>
      </c>
      <c r="G222" s="7">
        <v>302</v>
      </c>
      <c r="H222" s="6">
        <v>2</v>
      </c>
      <c r="I222" s="7">
        <v>3</v>
      </c>
      <c r="J222" s="6">
        <v>1</v>
      </c>
      <c r="K222" s="6">
        <v>4</v>
      </c>
      <c r="L222" s="7" t="s">
        <v>252</v>
      </c>
      <c r="M222" s="8" t="s">
        <v>31</v>
      </c>
      <c r="N222" s="9" t="s">
        <v>58</v>
      </c>
      <c r="O222" s="9" t="s">
        <v>259</v>
      </c>
      <c r="P222" s="10">
        <v>12.21</v>
      </c>
      <c r="Q222" s="10">
        <v>10.8</v>
      </c>
      <c r="R222" s="10">
        <v>45.1</v>
      </c>
      <c r="S222" s="10">
        <v>7230.69</v>
      </c>
      <c r="T222" s="10">
        <v>8104.52</v>
      </c>
      <c r="U222" s="11">
        <f t="shared" si="3"/>
        <v>7229.7234611953618</v>
      </c>
      <c r="V222" s="10">
        <v>73.36</v>
      </c>
      <c r="W222" s="10">
        <v>61.12</v>
      </c>
      <c r="X222" s="7">
        <v>2</v>
      </c>
    </row>
    <row r="223" spans="1:24" hidden="1" x14ac:dyDescent="0.25">
      <c r="A223" s="3">
        <v>2025</v>
      </c>
      <c r="B223" s="2" t="s">
        <v>406</v>
      </c>
      <c r="C223" s="6" t="s">
        <v>91</v>
      </c>
      <c r="D223" s="6" t="s">
        <v>92</v>
      </c>
      <c r="E223" s="6" t="s">
        <v>26</v>
      </c>
      <c r="F223" s="7" t="s">
        <v>421</v>
      </c>
      <c r="G223" s="7">
        <v>303</v>
      </c>
      <c r="H223" s="6">
        <v>3</v>
      </c>
      <c r="I223" s="7">
        <v>3</v>
      </c>
      <c r="J223" s="6">
        <v>2</v>
      </c>
      <c r="K223" s="6">
        <v>3</v>
      </c>
      <c r="L223" s="7" t="s">
        <v>252</v>
      </c>
      <c r="M223" s="8" t="s">
        <v>31</v>
      </c>
      <c r="N223" s="9" t="s">
        <v>57</v>
      </c>
      <c r="O223" s="9" t="s">
        <v>259</v>
      </c>
      <c r="P223" s="10">
        <v>13.16</v>
      </c>
      <c r="Q223" s="10">
        <v>10.199999999999999</v>
      </c>
      <c r="R223" s="10">
        <v>45.3</v>
      </c>
      <c r="S223" s="10">
        <v>7845.7</v>
      </c>
      <c r="T223" s="10">
        <v>8793.85</v>
      </c>
      <c r="U223" s="11">
        <f t="shared" si="3"/>
        <v>7844.6476360392508</v>
      </c>
      <c r="V223" s="10">
        <v>72.900000000000006</v>
      </c>
      <c r="W223" s="10">
        <v>60.08</v>
      </c>
      <c r="X223" s="7">
        <v>1</v>
      </c>
    </row>
    <row r="224" spans="1:24" hidden="1" x14ac:dyDescent="0.25">
      <c r="A224" s="3">
        <v>2025</v>
      </c>
      <c r="B224" s="2" t="s">
        <v>406</v>
      </c>
      <c r="C224" s="6" t="s">
        <v>91</v>
      </c>
      <c r="D224" s="6" t="s">
        <v>92</v>
      </c>
      <c r="E224" s="6" t="s">
        <v>26</v>
      </c>
      <c r="F224" s="7" t="s">
        <v>422</v>
      </c>
      <c r="G224" s="7">
        <v>304</v>
      </c>
      <c r="H224" s="6">
        <v>4</v>
      </c>
      <c r="I224" s="7">
        <v>3</v>
      </c>
      <c r="J224" s="6">
        <v>2</v>
      </c>
      <c r="K224" s="6">
        <v>11</v>
      </c>
      <c r="L224" s="7" t="s">
        <v>252</v>
      </c>
      <c r="M224" s="8" t="s">
        <v>253</v>
      </c>
      <c r="N224" s="9" t="s">
        <v>60</v>
      </c>
      <c r="O224" s="9" t="s">
        <v>257</v>
      </c>
      <c r="P224" s="10">
        <v>13.76</v>
      </c>
      <c r="Q224" s="10">
        <v>10.9</v>
      </c>
      <c r="R224" s="10">
        <v>45.1</v>
      </c>
      <c r="S224" s="10">
        <v>8139.46</v>
      </c>
      <c r="T224" s="10">
        <v>9123.11</v>
      </c>
      <c r="U224" s="11">
        <f t="shared" si="3"/>
        <v>8138.367528991972</v>
      </c>
      <c r="V224" s="10">
        <v>73.180000000000007</v>
      </c>
      <c r="W224" s="10">
        <v>61.3</v>
      </c>
      <c r="X224" s="7">
        <v>0</v>
      </c>
    </row>
    <row r="225" spans="1:24" hidden="1" x14ac:dyDescent="0.25">
      <c r="A225" s="3">
        <v>2025</v>
      </c>
      <c r="B225" s="2" t="s">
        <v>406</v>
      </c>
      <c r="C225" s="6" t="s">
        <v>91</v>
      </c>
      <c r="D225" s="6" t="s">
        <v>92</v>
      </c>
      <c r="E225" s="6" t="s">
        <v>26</v>
      </c>
      <c r="F225" s="7" t="s">
        <v>423</v>
      </c>
      <c r="G225" s="7">
        <v>305</v>
      </c>
      <c r="H225" s="6">
        <v>5</v>
      </c>
      <c r="I225" s="7">
        <v>3</v>
      </c>
      <c r="J225" s="6">
        <v>3</v>
      </c>
      <c r="K225" s="6">
        <v>16</v>
      </c>
      <c r="L225" s="7" t="s">
        <v>252</v>
      </c>
      <c r="M225" s="8" t="s">
        <v>254</v>
      </c>
      <c r="N225" s="9" t="s">
        <v>58</v>
      </c>
      <c r="O225" s="9" t="s">
        <v>258</v>
      </c>
      <c r="P225" s="10">
        <v>13.29</v>
      </c>
      <c r="Q225" s="10">
        <v>9.9</v>
      </c>
      <c r="R225" s="10">
        <v>45.5</v>
      </c>
      <c r="S225" s="10">
        <v>7949.67</v>
      </c>
      <c r="T225" s="10">
        <v>8910.39</v>
      </c>
      <c r="U225" s="11">
        <f t="shared" si="3"/>
        <v>7948.6083853702048</v>
      </c>
      <c r="V225" s="10">
        <v>73.319999999999993</v>
      </c>
      <c r="W225" s="10">
        <v>61.52</v>
      </c>
      <c r="X225" s="7">
        <v>1</v>
      </c>
    </row>
    <row r="226" spans="1:24" hidden="1" x14ac:dyDescent="0.25">
      <c r="A226" s="3">
        <v>2025</v>
      </c>
      <c r="B226" s="2" t="s">
        <v>406</v>
      </c>
      <c r="C226" s="6" t="s">
        <v>91</v>
      </c>
      <c r="D226" s="6" t="s">
        <v>92</v>
      </c>
      <c r="E226" s="6" t="s">
        <v>26</v>
      </c>
      <c r="F226" s="7" t="s">
        <v>424</v>
      </c>
      <c r="G226" s="7">
        <v>306</v>
      </c>
      <c r="H226" s="6">
        <v>6</v>
      </c>
      <c r="I226" s="7">
        <v>3</v>
      </c>
      <c r="J226" s="6">
        <v>3</v>
      </c>
      <c r="K226" s="6">
        <v>18</v>
      </c>
      <c r="L226" s="7" t="s">
        <v>252</v>
      </c>
      <c r="M226" s="8" t="s">
        <v>254</v>
      </c>
      <c r="N226" s="9" t="s">
        <v>62</v>
      </c>
      <c r="O226" s="9" t="s">
        <v>258</v>
      </c>
      <c r="P226" s="10">
        <v>13.55</v>
      </c>
      <c r="Q226" s="10">
        <v>11.8</v>
      </c>
      <c r="R226" s="10">
        <v>44.8</v>
      </c>
      <c r="S226" s="10">
        <v>7934.27</v>
      </c>
      <c r="T226" s="10">
        <v>8893.1299999999992</v>
      </c>
      <c r="U226" s="11">
        <f t="shared" si="3"/>
        <v>7933.2114183764488</v>
      </c>
      <c r="V226" s="10">
        <v>72.959999999999994</v>
      </c>
      <c r="W226" s="10">
        <v>62.17</v>
      </c>
      <c r="X226" s="7">
        <v>1</v>
      </c>
    </row>
    <row r="227" spans="1:24" hidden="1" x14ac:dyDescent="0.25">
      <c r="A227" s="3">
        <v>2025</v>
      </c>
      <c r="B227" s="2" t="s">
        <v>406</v>
      </c>
      <c r="C227" s="6" t="s">
        <v>91</v>
      </c>
      <c r="D227" s="6" t="s">
        <v>92</v>
      </c>
      <c r="E227" s="6" t="s">
        <v>26</v>
      </c>
      <c r="F227" s="7" t="s">
        <v>425</v>
      </c>
      <c r="G227" s="7">
        <v>401</v>
      </c>
      <c r="H227" s="6">
        <v>1</v>
      </c>
      <c r="I227" s="7">
        <v>4</v>
      </c>
      <c r="J227" s="6">
        <v>1</v>
      </c>
      <c r="K227" s="6">
        <v>8</v>
      </c>
      <c r="L227" s="7" t="s">
        <v>252</v>
      </c>
      <c r="M227" s="8" t="s">
        <v>31</v>
      </c>
      <c r="N227" s="9" t="s">
        <v>61</v>
      </c>
      <c r="O227" s="9" t="s">
        <v>259</v>
      </c>
      <c r="P227" s="10">
        <v>14.24</v>
      </c>
      <c r="Q227" s="10">
        <v>13.2</v>
      </c>
      <c r="R227" s="10">
        <v>43.9</v>
      </c>
      <c r="S227" s="10">
        <v>8205.9500000000007</v>
      </c>
      <c r="T227" s="10">
        <v>9197.64</v>
      </c>
      <c r="U227" s="11">
        <f t="shared" si="3"/>
        <v>8204.8528099910782</v>
      </c>
      <c r="V227" s="10">
        <v>72.62</v>
      </c>
      <c r="W227" s="10">
        <v>61.32</v>
      </c>
      <c r="X227" s="7">
        <v>1</v>
      </c>
    </row>
    <row r="228" spans="1:24" hidden="1" x14ac:dyDescent="0.25">
      <c r="A228" s="3">
        <v>2025</v>
      </c>
      <c r="B228" s="2" t="s">
        <v>406</v>
      </c>
      <c r="C228" s="6" t="s">
        <v>91</v>
      </c>
      <c r="D228" s="6" t="s">
        <v>92</v>
      </c>
      <c r="E228" s="6" t="s">
        <v>26</v>
      </c>
      <c r="F228" s="7" t="s">
        <v>426</v>
      </c>
      <c r="G228" s="7">
        <v>402</v>
      </c>
      <c r="H228" s="6">
        <v>2</v>
      </c>
      <c r="I228" s="7">
        <v>4</v>
      </c>
      <c r="J228" s="6">
        <v>1</v>
      </c>
      <c r="K228" s="6">
        <v>1</v>
      </c>
      <c r="L228" s="7" t="s">
        <v>252</v>
      </c>
      <c r="M228" s="8" t="s">
        <v>469</v>
      </c>
      <c r="N228" s="8" t="s">
        <v>469</v>
      </c>
      <c r="O228" s="8" t="s">
        <v>469</v>
      </c>
      <c r="P228" s="10">
        <v>13.3</v>
      </c>
      <c r="Q228" s="10">
        <v>9.75</v>
      </c>
      <c r="R228" s="10">
        <v>45.5</v>
      </c>
      <c r="S228" s="10">
        <v>7968.9</v>
      </c>
      <c r="T228" s="10">
        <v>8931.94</v>
      </c>
      <c r="U228" s="11">
        <f t="shared" si="3"/>
        <v>7967.8322925958973</v>
      </c>
      <c r="V228" s="10">
        <v>72.260000000000005</v>
      </c>
      <c r="W228" s="10">
        <v>59.13</v>
      </c>
      <c r="X228" s="7">
        <v>1</v>
      </c>
    </row>
    <row r="229" spans="1:24" hidden="1" x14ac:dyDescent="0.25">
      <c r="A229" s="3">
        <v>2025</v>
      </c>
      <c r="B229" s="2" t="s">
        <v>406</v>
      </c>
      <c r="C229" s="6" t="s">
        <v>91</v>
      </c>
      <c r="D229" s="6" t="s">
        <v>92</v>
      </c>
      <c r="E229" s="6" t="s">
        <v>26</v>
      </c>
      <c r="F229" s="7" t="s">
        <v>427</v>
      </c>
      <c r="G229" s="7">
        <v>403</v>
      </c>
      <c r="H229" s="6">
        <v>3</v>
      </c>
      <c r="I229" s="7">
        <v>4</v>
      </c>
      <c r="J229" s="6">
        <v>2</v>
      </c>
      <c r="K229" s="6">
        <v>16</v>
      </c>
      <c r="L229" s="7" t="s">
        <v>252</v>
      </c>
      <c r="M229" s="8" t="s">
        <v>254</v>
      </c>
      <c r="N229" s="9" t="s">
        <v>58</v>
      </c>
      <c r="O229" s="9" t="s">
        <v>258</v>
      </c>
      <c r="P229" s="10">
        <v>13.33</v>
      </c>
      <c r="Q229" s="10">
        <v>10.9</v>
      </c>
      <c r="R229" s="10">
        <v>45</v>
      </c>
      <c r="S229" s="10">
        <v>7885.1</v>
      </c>
      <c r="T229" s="10">
        <v>8838.01</v>
      </c>
      <c r="U229" s="11">
        <f t="shared" si="3"/>
        <v>7884.0410347903662</v>
      </c>
      <c r="V229" s="10">
        <v>72.739999999999995</v>
      </c>
      <c r="W229" s="10">
        <v>60.98</v>
      </c>
      <c r="X229" s="7">
        <v>1</v>
      </c>
    </row>
    <row r="230" spans="1:24" hidden="1" x14ac:dyDescent="0.25">
      <c r="A230" s="3">
        <v>2025</v>
      </c>
      <c r="B230" s="2" t="s">
        <v>406</v>
      </c>
      <c r="C230" s="6" t="s">
        <v>91</v>
      </c>
      <c r="D230" s="6" t="s">
        <v>92</v>
      </c>
      <c r="E230" s="6" t="s">
        <v>26</v>
      </c>
      <c r="F230" s="7" t="s">
        <v>428</v>
      </c>
      <c r="G230" s="7">
        <v>404</v>
      </c>
      <c r="H230" s="6">
        <v>4</v>
      </c>
      <c r="I230" s="7">
        <v>4</v>
      </c>
      <c r="J230" s="6">
        <v>2</v>
      </c>
      <c r="K230" s="6">
        <v>7</v>
      </c>
      <c r="L230" s="7" t="s">
        <v>252</v>
      </c>
      <c r="M230" s="8" t="s">
        <v>31</v>
      </c>
      <c r="N230" s="9" t="s">
        <v>59</v>
      </c>
      <c r="O230" s="9" t="s">
        <v>259</v>
      </c>
      <c r="P230" s="10">
        <v>13.07</v>
      </c>
      <c r="Q230" s="10">
        <v>10.7</v>
      </c>
      <c r="R230" s="10">
        <v>45.1</v>
      </c>
      <c r="S230" s="10">
        <v>7748.66</v>
      </c>
      <c r="T230" s="10">
        <v>8685.08</v>
      </c>
      <c r="U230" s="11">
        <f t="shared" si="3"/>
        <v>7747.6181980374668</v>
      </c>
      <c r="V230" s="10">
        <v>72.19</v>
      </c>
      <c r="W230" s="10">
        <v>59.47</v>
      </c>
      <c r="X230" s="7">
        <v>1</v>
      </c>
    </row>
    <row r="231" spans="1:24" hidden="1" x14ac:dyDescent="0.25">
      <c r="A231" s="3">
        <v>2025</v>
      </c>
      <c r="B231" s="2" t="s">
        <v>406</v>
      </c>
      <c r="C231" s="6" t="s">
        <v>91</v>
      </c>
      <c r="D231" s="6" t="s">
        <v>92</v>
      </c>
      <c r="E231" s="6" t="s">
        <v>26</v>
      </c>
      <c r="F231" s="7" t="s">
        <v>429</v>
      </c>
      <c r="G231" s="7">
        <v>405</v>
      </c>
      <c r="H231" s="6">
        <v>5</v>
      </c>
      <c r="I231" s="7">
        <v>4</v>
      </c>
      <c r="J231" s="6">
        <v>3</v>
      </c>
      <c r="K231" s="6">
        <v>4</v>
      </c>
      <c r="L231" s="7" t="s">
        <v>252</v>
      </c>
      <c r="M231" s="8" t="s">
        <v>31</v>
      </c>
      <c r="N231" s="9" t="s">
        <v>58</v>
      </c>
      <c r="O231" s="9" t="s">
        <v>259</v>
      </c>
      <c r="P231" s="10">
        <v>13.84</v>
      </c>
      <c r="Q231" s="10">
        <v>11.7</v>
      </c>
      <c r="R231" s="10">
        <v>44.7</v>
      </c>
      <c r="S231" s="10">
        <v>8113.27</v>
      </c>
      <c r="T231" s="10">
        <v>9093.76</v>
      </c>
      <c r="U231" s="11">
        <f t="shared" si="3"/>
        <v>8112.1855486173063</v>
      </c>
      <c r="V231" s="10">
        <v>72.75</v>
      </c>
      <c r="W231" s="10">
        <v>59.94</v>
      </c>
      <c r="X231" s="7">
        <v>2</v>
      </c>
    </row>
    <row r="232" spans="1:24" hidden="1" x14ac:dyDescent="0.25">
      <c r="A232" s="3">
        <v>2025</v>
      </c>
      <c r="B232" s="2" t="s">
        <v>406</v>
      </c>
      <c r="C232" s="6" t="s">
        <v>91</v>
      </c>
      <c r="D232" s="6" t="s">
        <v>92</v>
      </c>
      <c r="E232" s="6" t="s">
        <v>26</v>
      </c>
      <c r="F232" s="7" t="s">
        <v>430</v>
      </c>
      <c r="G232" s="7">
        <v>406</v>
      </c>
      <c r="H232" s="6">
        <v>6</v>
      </c>
      <c r="I232" s="7">
        <v>4</v>
      </c>
      <c r="J232" s="6">
        <v>3</v>
      </c>
      <c r="K232" s="6">
        <v>6</v>
      </c>
      <c r="L232" s="7" t="s">
        <v>252</v>
      </c>
      <c r="M232" s="8" t="s">
        <v>31</v>
      </c>
      <c r="N232" s="9" t="s">
        <v>62</v>
      </c>
      <c r="O232" s="9" t="s">
        <v>259</v>
      </c>
      <c r="P232" s="10">
        <v>10.42</v>
      </c>
      <c r="Q232" s="10">
        <v>10.7</v>
      </c>
      <c r="R232" s="10">
        <v>45.1</v>
      </c>
      <c r="S232" s="10">
        <v>6177.58</v>
      </c>
      <c r="T232" s="10">
        <v>6924.14</v>
      </c>
      <c r="U232" s="11">
        <f t="shared" si="3"/>
        <v>6176.7528991971458</v>
      </c>
      <c r="V232" s="10">
        <v>71.790000000000006</v>
      </c>
      <c r="W232" s="10">
        <v>57.36</v>
      </c>
      <c r="X232" s="7">
        <v>1</v>
      </c>
    </row>
    <row r="233" spans="1:24" hidden="1" x14ac:dyDescent="0.25">
      <c r="A233" s="3">
        <v>2025</v>
      </c>
      <c r="B233" s="2" t="s">
        <v>406</v>
      </c>
      <c r="C233" s="6" t="s">
        <v>91</v>
      </c>
      <c r="D233" s="6" t="s">
        <v>92</v>
      </c>
      <c r="E233" s="6" t="s">
        <v>26</v>
      </c>
      <c r="F233" s="7" t="s">
        <v>431</v>
      </c>
      <c r="G233" s="7">
        <v>501</v>
      </c>
      <c r="H233" s="6">
        <v>1</v>
      </c>
      <c r="I233" s="7">
        <v>5</v>
      </c>
      <c r="J233" s="6">
        <v>1</v>
      </c>
      <c r="K233" s="6">
        <v>17</v>
      </c>
      <c r="L233" s="7" t="s">
        <v>252</v>
      </c>
      <c r="M233" s="8" t="s">
        <v>254</v>
      </c>
      <c r="N233" s="9" t="s">
        <v>60</v>
      </c>
      <c r="O233" s="9" t="s">
        <v>258</v>
      </c>
      <c r="P233" s="10">
        <v>13.73</v>
      </c>
      <c r="Q233" s="10">
        <v>12.3</v>
      </c>
      <c r="R233" s="10">
        <v>44.6</v>
      </c>
      <c r="S233" s="10">
        <v>7994.1</v>
      </c>
      <c r="T233" s="10">
        <v>8960.18</v>
      </c>
      <c r="U233" s="11">
        <f t="shared" si="3"/>
        <v>7993.0240856378241</v>
      </c>
      <c r="V233" s="10">
        <v>72.400000000000006</v>
      </c>
      <c r="W233" s="10">
        <v>59.99</v>
      </c>
      <c r="X233" s="7">
        <v>1</v>
      </c>
    </row>
    <row r="234" spans="1:24" hidden="1" x14ac:dyDescent="0.25">
      <c r="A234" s="3">
        <v>2025</v>
      </c>
      <c r="B234" s="2" t="s">
        <v>406</v>
      </c>
      <c r="C234" s="6" t="s">
        <v>91</v>
      </c>
      <c r="D234" s="6" t="s">
        <v>92</v>
      </c>
      <c r="E234" s="6" t="s">
        <v>26</v>
      </c>
      <c r="F234" s="7" t="s">
        <v>432</v>
      </c>
      <c r="G234" s="7">
        <v>502</v>
      </c>
      <c r="H234" s="6">
        <v>2</v>
      </c>
      <c r="I234" s="7">
        <v>5</v>
      </c>
      <c r="J234" s="6">
        <v>1</v>
      </c>
      <c r="K234" s="6">
        <v>11</v>
      </c>
      <c r="L234" s="7" t="s">
        <v>252</v>
      </c>
      <c r="M234" s="8" t="s">
        <v>253</v>
      </c>
      <c r="N234" s="9" t="s">
        <v>60</v>
      </c>
      <c r="O234" s="9" t="s">
        <v>257</v>
      </c>
      <c r="P234" s="10">
        <v>13.37</v>
      </c>
      <c r="Q234" s="10">
        <v>10.6</v>
      </c>
      <c r="R234" s="10">
        <v>45.2</v>
      </c>
      <c r="S234" s="10">
        <v>7935.39</v>
      </c>
      <c r="T234" s="10">
        <v>8894.3799999999992</v>
      </c>
      <c r="U234" s="11">
        <f t="shared" si="3"/>
        <v>7934.3264942016049</v>
      </c>
      <c r="V234" s="10">
        <v>72.31</v>
      </c>
      <c r="W234" s="10">
        <v>59.4</v>
      </c>
      <c r="X234" s="7">
        <v>2</v>
      </c>
    </row>
    <row r="235" spans="1:24" hidden="1" x14ac:dyDescent="0.25">
      <c r="A235" s="3">
        <v>2025</v>
      </c>
      <c r="B235" s="2" t="s">
        <v>406</v>
      </c>
      <c r="C235" s="6" t="s">
        <v>91</v>
      </c>
      <c r="D235" s="6" t="s">
        <v>92</v>
      </c>
      <c r="E235" s="6" t="s">
        <v>26</v>
      </c>
      <c r="F235" s="7" t="s">
        <v>433</v>
      </c>
      <c r="G235" s="7">
        <v>503</v>
      </c>
      <c r="H235" s="6">
        <v>3</v>
      </c>
      <c r="I235" s="7">
        <v>5</v>
      </c>
      <c r="J235" s="6">
        <v>2</v>
      </c>
      <c r="K235" s="6">
        <v>20</v>
      </c>
      <c r="L235" s="7" t="s">
        <v>252</v>
      </c>
      <c r="M235" s="8" t="s">
        <v>254</v>
      </c>
      <c r="N235" s="9" t="s">
        <v>61</v>
      </c>
      <c r="O235" s="9" t="s">
        <v>258</v>
      </c>
      <c r="P235" s="10">
        <v>13.39</v>
      </c>
      <c r="Q235" s="10">
        <v>10.4</v>
      </c>
      <c r="R235" s="10">
        <v>45.2</v>
      </c>
      <c r="S235" s="10">
        <v>7965.04</v>
      </c>
      <c r="T235" s="10">
        <v>8927.61</v>
      </c>
      <c r="U235" s="11">
        <f t="shared" si="3"/>
        <v>7963.9696699375563</v>
      </c>
      <c r="V235" s="10">
        <v>71.84</v>
      </c>
      <c r="W235" s="10">
        <v>59.01</v>
      </c>
      <c r="X235" s="7">
        <v>1</v>
      </c>
    </row>
    <row r="236" spans="1:24" hidden="1" x14ac:dyDescent="0.25">
      <c r="A236" s="3">
        <v>2025</v>
      </c>
      <c r="B236" s="2" t="s">
        <v>406</v>
      </c>
      <c r="C236" s="6" t="s">
        <v>91</v>
      </c>
      <c r="D236" s="6" t="s">
        <v>92</v>
      </c>
      <c r="E236" s="6" t="s">
        <v>26</v>
      </c>
      <c r="F236" s="7" t="s">
        <v>434</v>
      </c>
      <c r="G236" s="7">
        <v>504</v>
      </c>
      <c r="H236" s="6">
        <v>4</v>
      </c>
      <c r="I236" s="7">
        <v>5</v>
      </c>
      <c r="J236" s="6">
        <v>2</v>
      </c>
      <c r="K236" s="6">
        <v>6</v>
      </c>
      <c r="L236" s="7" t="s">
        <v>252</v>
      </c>
      <c r="M236" s="8" t="s">
        <v>31</v>
      </c>
      <c r="N236" s="9" t="s">
        <v>62</v>
      </c>
      <c r="O236" s="9" t="s">
        <v>259</v>
      </c>
      <c r="P236" s="10">
        <v>13.18</v>
      </c>
      <c r="Q236" s="10">
        <v>9.61</v>
      </c>
      <c r="R236" s="10">
        <v>45.5</v>
      </c>
      <c r="S236" s="10">
        <v>7909.25</v>
      </c>
      <c r="T236" s="10">
        <v>8865.08</v>
      </c>
      <c r="U236" s="11">
        <f t="shared" si="3"/>
        <v>7908.1891168599468</v>
      </c>
      <c r="V236" s="10">
        <v>72.459999999999994</v>
      </c>
      <c r="W236" s="10">
        <v>58.92</v>
      </c>
      <c r="X236" s="7">
        <v>1</v>
      </c>
    </row>
    <row r="237" spans="1:24" hidden="1" x14ac:dyDescent="0.25">
      <c r="A237" s="3">
        <v>2025</v>
      </c>
      <c r="B237" s="2" t="s">
        <v>406</v>
      </c>
      <c r="C237" s="6" t="s">
        <v>91</v>
      </c>
      <c r="D237" s="6" t="s">
        <v>92</v>
      </c>
      <c r="E237" s="6" t="s">
        <v>26</v>
      </c>
      <c r="F237" s="7" t="s">
        <v>435</v>
      </c>
      <c r="G237" s="7">
        <v>505</v>
      </c>
      <c r="H237" s="6">
        <v>5</v>
      </c>
      <c r="I237" s="7">
        <v>5</v>
      </c>
      <c r="J237" s="6">
        <v>3</v>
      </c>
      <c r="K237" s="6">
        <v>17</v>
      </c>
      <c r="L237" s="7" t="s">
        <v>252</v>
      </c>
      <c r="M237" s="8" t="s">
        <v>254</v>
      </c>
      <c r="N237" s="9" t="s">
        <v>60</v>
      </c>
      <c r="O237" s="9" t="s">
        <v>258</v>
      </c>
      <c r="P237" s="10">
        <v>13.53</v>
      </c>
      <c r="Q237" s="10">
        <v>9.9</v>
      </c>
      <c r="R237" s="10">
        <v>45.5</v>
      </c>
      <c r="S237" s="10">
        <v>8093.23</v>
      </c>
      <c r="T237" s="10">
        <v>9071.2999999999993</v>
      </c>
      <c r="U237" s="11">
        <f t="shared" si="3"/>
        <v>8092.1498661909</v>
      </c>
      <c r="V237" s="10">
        <v>72.2</v>
      </c>
      <c r="W237" s="10">
        <v>58.57</v>
      </c>
      <c r="X237" s="7">
        <v>0</v>
      </c>
    </row>
    <row r="238" spans="1:24" hidden="1" x14ac:dyDescent="0.25">
      <c r="A238" s="3">
        <v>2025</v>
      </c>
      <c r="B238" s="2" t="s">
        <v>406</v>
      </c>
      <c r="C238" s="6" t="s">
        <v>91</v>
      </c>
      <c r="D238" s="6" t="s">
        <v>92</v>
      </c>
      <c r="E238" s="6" t="s">
        <v>26</v>
      </c>
      <c r="F238" s="7" t="s">
        <v>436</v>
      </c>
      <c r="G238" s="7">
        <v>506</v>
      </c>
      <c r="H238" s="6">
        <v>6</v>
      </c>
      <c r="I238" s="7">
        <v>5</v>
      </c>
      <c r="J238" s="6">
        <v>3</v>
      </c>
      <c r="K238" s="6">
        <v>10</v>
      </c>
      <c r="L238" s="7" t="s">
        <v>252</v>
      </c>
      <c r="M238" s="8" t="s">
        <v>253</v>
      </c>
      <c r="N238" s="9" t="s">
        <v>58</v>
      </c>
      <c r="O238" s="9" t="s">
        <v>257</v>
      </c>
      <c r="P238" s="10">
        <v>13.73</v>
      </c>
      <c r="Q238" s="10">
        <v>10.5</v>
      </c>
      <c r="R238" s="10">
        <v>45.3</v>
      </c>
      <c r="S238" s="10">
        <v>8158.17</v>
      </c>
      <c r="T238" s="10">
        <v>9144.09</v>
      </c>
      <c r="U238" s="11">
        <f t="shared" si="3"/>
        <v>8157.0829616413921</v>
      </c>
      <c r="V238" s="10">
        <v>72.23</v>
      </c>
      <c r="W238" s="10">
        <v>58.64</v>
      </c>
      <c r="X238" s="7">
        <v>0</v>
      </c>
    </row>
    <row r="239" spans="1:24" hidden="1" x14ac:dyDescent="0.25">
      <c r="A239" s="3">
        <v>2025</v>
      </c>
      <c r="B239" s="2" t="s">
        <v>406</v>
      </c>
      <c r="C239" s="6" t="s">
        <v>91</v>
      </c>
      <c r="D239" s="6" t="s">
        <v>92</v>
      </c>
      <c r="E239" s="6" t="s">
        <v>26</v>
      </c>
      <c r="F239" s="7" t="s">
        <v>437</v>
      </c>
      <c r="G239" s="7">
        <v>601</v>
      </c>
      <c r="H239" s="6">
        <v>1</v>
      </c>
      <c r="I239" s="7">
        <v>6</v>
      </c>
      <c r="J239" s="6">
        <v>1</v>
      </c>
      <c r="K239" s="6">
        <v>19</v>
      </c>
      <c r="L239" s="7" t="s">
        <v>252</v>
      </c>
      <c r="M239" s="8" t="s">
        <v>254</v>
      </c>
      <c r="N239" s="9" t="s">
        <v>59</v>
      </c>
      <c r="O239" s="9" t="s">
        <v>258</v>
      </c>
      <c r="P239" s="10">
        <v>14.28</v>
      </c>
      <c r="Q239" s="10">
        <v>13.6</v>
      </c>
      <c r="R239" s="10">
        <v>43.7</v>
      </c>
      <c r="S239" s="10">
        <v>8191.08</v>
      </c>
      <c r="T239" s="10">
        <v>9180.9699999999993</v>
      </c>
      <c r="U239" s="11">
        <f t="shared" si="3"/>
        <v>8189.9821587867973</v>
      </c>
      <c r="V239" s="10">
        <v>72.819999999999993</v>
      </c>
      <c r="W239" s="10">
        <v>62.63</v>
      </c>
      <c r="X239" s="7">
        <v>0</v>
      </c>
    </row>
    <row r="240" spans="1:24" hidden="1" x14ac:dyDescent="0.25">
      <c r="A240" s="3">
        <v>2025</v>
      </c>
      <c r="B240" s="2" t="s">
        <v>406</v>
      </c>
      <c r="C240" s="6" t="s">
        <v>91</v>
      </c>
      <c r="D240" s="6" t="s">
        <v>92</v>
      </c>
      <c r="E240" s="6" t="s">
        <v>26</v>
      </c>
      <c r="F240" s="7" t="s">
        <v>438</v>
      </c>
      <c r="G240" s="7">
        <v>602</v>
      </c>
      <c r="H240" s="6">
        <v>2</v>
      </c>
      <c r="I240" s="7">
        <v>6</v>
      </c>
      <c r="J240" s="6">
        <v>1</v>
      </c>
      <c r="K240" s="6">
        <v>7</v>
      </c>
      <c r="L240" s="7" t="s">
        <v>252</v>
      </c>
      <c r="M240" s="8" t="s">
        <v>31</v>
      </c>
      <c r="N240" s="9" t="s">
        <v>59</v>
      </c>
      <c r="O240" s="9" t="s">
        <v>259</v>
      </c>
      <c r="P240" s="10">
        <v>13.23</v>
      </c>
      <c r="Q240" s="10">
        <v>11.5</v>
      </c>
      <c r="R240" s="10">
        <v>44.9</v>
      </c>
      <c r="S240" s="10">
        <v>7773.25</v>
      </c>
      <c r="T240" s="10">
        <v>8712.64</v>
      </c>
      <c r="U240" s="11">
        <f t="shared" si="3"/>
        <v>7772.2033898305081</v>
      </c>
      <c r="V240" s="10">
        <v>73.17</v>
      </c>
      <c r="W240" s="10">
        <v>61.65</v>
      </c>
      <c r="X240" s="7">
        <v>1</v>
      </c>
    </row>
    <row r="241" spans="1:24" hidden="1" x14ac:dyDescent="0.25">
      <c r="A241" s="3">
        <v>2025</v>
      </c>
      <c r="B241" s="2" t="s">
        <v>406</v>
      </c>
      <c r="C241" s="6" t="s">
        <v>91</v>
      </c>
      <c r="D241" s="6" t="s">
        <v>92</v>
      </c>
      <c r="E241" s="6" t="s">
        <v>26</v>
      </c>
      <c r="F241" s="7" t="s">
        <v>439</v>
      </c>
      <c r="G241" s="7">
        <v>603</v>
      </c>
      <c r="H241" s="6">
        <v>3</v>
      </c>
      <c r="I241" s="7">
        <v>6</v>
      </c>
      <c r="J241" s="6">
        <v>2</v>
      </c>
      <c r="K241" s="6">
        <v>8</v>
      </c>
      <c r="L241" s="7" t="s">
        <v>252</v>
      </c>
      <c r="M241" s="8" t="s">
        <v>31</v>
      </c>
      <c r="N241" s="9" t="s">
        <v>61</v>
      </c>
      <c r="O241" s="9" t="s">
        <v>259</v>
      </c>
      <c r="P241" s="10">
        <v>10.220000000000001</v>
      </c>
      <c r="Q241" s="10">
        <v>12.3</v>
      </c>
      <c r="R241" s="10">
        <v>44.3</v>
      </c>
      <c r="S241" s="10">
        <v>5950.45</v>
      </c>
      <c r="T241" s="10">
        <v>6669.56</v>
      </c>
      <c r="U241" s="11">
        <f t="shared" si="3"/>
        <v>5949.6520963425519</v>
      </c>
      <c r="V241" s="10">
        <v>73.14</v>
      </c>
      <c r="W241" s="10">
        <v>61.83</v>
      </c>
      <c r="X241" s="7">
        <v>0</v>
      </c>
    </row>
    <row r="242" spans="1:24" hidden="1" x14ac:dyDescent="0.25">
      <c r="A242" s="3">
        <v>2025</v>
      </c>
      <c r="B242" s="2" t="s">
        <v>406</v>
      </c>
      <c r="C242" s="6" t="s">
        <v>91</v>
      </c>
      <c r="D242" s="6" t="s">
        <v>92</v>
      </c>
      <c r="E242" s="6" t="s">
        <v>26</v>
      </c>
      <c r="F242" s="7" t="s">
        <v>440</v>
      </c>
      <c r="G242" s="7">
        <v>604</v>
      </c>
      <c r="H242" s="6">
        <v>4</v>
      </c>
      <c r="I242" s="7">
        <v>6</v>
      </c>
      <c r="J242" s="6">
        <v>2</v>
      </c>
      <c r="K242" s="6">
        <v>13</v>
      </c>
      <c r="L242" s="7" t="s">
        <v>252</v>
      </c>
      <c r="M242" s="8" t="s">
        <v>253</v>
      </c>
      <c r="N242" s="9" t="s">
        <v>59</v>
      </c>
      <c r="O242" s="9" t="s">
        <v>257</v>
      </c>
      <c r="P242" s="10">
        <v>12.3</v>
      </c>
      <c r="Q242" s="10">
        <v>10.3</v>
      </c>
      <c r="R242" s="10">
        <v>45.3</v>
      </c>
      <c r="S242" s="10">
        <v>7324.82</v>
      </c>
      <c r="T242" s="10">
        <v>8210.02</v>
      </c>
      <c r="U242" s="11">
        <f t="shared" si="3"/>
        <v>7323.8358608385379</v>
      </c>
      <c r="V242" s="10">
        <v>72.790000000000006</v>
      </c>
      <c r="W242" s="10">
        <v>60.04</v>
      </c>
      <c r="X242" s="7">
        <v>0</v>
      </c>
    </row>
    <row r="243" spans="1:24" hidden="1" x14ac:dyDescent="0.25">
      <c r="A243" s="3">
        <v>2025</v>
      </c>
      <c r="B243" s="2" t="s">
        <v>406</v>
      </c>
      <c r="C243" s="6" t="s">
        <v>91</v>
      </c>
      <c r="D243" s="6" t="s">
        <v>92</v>
      </c>
      <c r="E243" s="6" t="s">
        <v>26</v>
      </c>
      <c r="F243" s="7" t="s">
        <v>441</v>
      </c>
      <c r="G243" s="7">
        <v>605</v>
      </c>
      <c r="H243" s="6">
        <v>5</v>
      </c>
      <c r="I243" s="7">
        <v>6</v>
      </c>
      <c r="J243" s="6">
        <v>3</v>
      </c>
      <c r="K243" s="6">
        <v>1</v>
      </c>
      <c r="L243" s="7" t="s">
        <v>252</v>
      </c>
      <c r="M243" s="8" t="s">
        <v>469</v>
      </c>
      <c r="N243" s="8" t="s">
        <v>469</v>
      </c>
      <c r="O243" s="8" t="s">
        <v>469</v>
      </c>
      <c r="P243" s="10">
        <v>12.2</v>
      </c>
      <c r="Q243" s="10">
        <v>9.48</v>
      </c>
      <c r="R243" s="10">
        <v>45.5</v>
      </c>
      <c r="S243" s="10">
        <v>7331.68</v>
      </c>
      <c r="T243" s="10">
        <v>8217.7199999999993</v>
      </c>
      <c r="U243" s="11">
        <f t="shared" si="3"/>
        <v>7330.7047279214985</v>
      </c>
      <c r="V243" s="10">
        <v>72.06</v>
      </c>
      <c r="W243" s="10">
        <v>56</v>
      </c>
      <c r="X243" s="7">
        <v>1</v>
      </c>
    </row>
    <row r="244" spans="1:24" hidden="1" x14ac:dyDescent="0.25">
      <c r="A244" s="3">
        <v>2025</v>
      </c>
      <c r="B244" s="2" t="s">
        <v>406</v>
      </c>
      <c r="C244" s="6" t="s">
        <v>91</v>
      </c>
      <c r="D244" s="6" t="s">
        <v>92</v>
      </c>
      <c r="E244" s="6" t="s">
        <v>26</v>
      </c>
      <c r="F244" s="7" t="s">
        <v>442</v>
      </c>
      <c r="G244" s="7">
        <v>606</v>
      </c>
      <c r="H244" s="6">
        <v>6</v>
      </c>
      <c r="I244" s="7">
        <v>6</v>
      </c>
      <c r="J244" s="6">
        <v>3</v>
      </c>
      <c r="K244" s="6">
        <v>15</v>
      </c>
      <c r="L244" s="7" t="s">
        <v>252</v>
      </c>
      <c r="M244" s="8" t="s">
        <v>254</v>
      </c>
      <c r="N244" s="9" t="s">
        <v>57</v>
      </c>
      <c r="O244" s="9" t="s">
        <v>258</v>
      </c>
      <c r="P244" s="10">
        <v>13.72</v>
      </c>
      <c r="Q244" s="10">
        <v>11.4</v>
      </c>
      <c r="R244" s="10">
        <v>44.8</v>
      </c>
      <c r="S244" s="10">
        <v>8070.25</v>
      </c>
      <c r="T244" s="10">
        <v>9045.5400000000009</v>
      </c>
      <c r="U244" s="11">
        <f t="shared" si="3"/>
        <v>8069.1703835860844</v>
      </c>
      <c r="V244" s="10">
        <v>71.760000000000005</v>
      </c>
      <c r="W244" s="10">
        <v>58.32</v>
      </c>
      <c r="X244" s="7">
        <v>1</v>
      </c>
    </row>
    <row r="245" spans="1:24" hidden="1" x14ac:dyDescent="0.25">
      <c r="A245" s="3">
        <v>2025</v>
      </c>
      <c r="B245" s="2" t="s">
        <v>406</v>
      </c>
      <c r="C245" s="6" t="s">
        <v>91</v>
      </c>
      <c r="D245" s="6" t="s">
        <v>92</v>
      </c>
      <c r="E245" s="6" t="s">
        <v>26</v>
      </c>
      <c r="F245" s="7" t="s">
        <v>443</v>
      </c>
      <c r="G245" s="7">
        <v>701</v>
      </c>
      <c r="H245" s="6">
        <v>1</v>
      </c>
      <c r="I245" s="7">
        <v>7</v>
      </c>
      <c r="J245" s="6">
        <v>1</v>
      </c>
      <c r="K245" s="6">
        <v>13</v>
      </c>
      <c r="L245" s="7" t="s">
        <v>252</v>
      </c>
      <c r="M245" s="8" t="s">
        <v>253</v>
      </c>
      <c r="N245" s="9" t="s">
        <v>59</v>
      </c>
      <c r="O245" s="9" t="s">
        <v>257</v>
      </c>
      <c r="P245" s="10">
        <v>13.48</v>
      </c>
      <c r="Q245" s="10">
        <v>12.3</v>
      </c>
      <c r="R245" s="10">
        <v>44.6</v>
      </c>
      <c r="S245" s="10">
        <v>7848.54</v>
      </c>
      <c r="T245" s="10">
        <v>8797.0300000000007</v>
      </c>
      <c r="U245" s="11">
        <f t="shared" si="3"/>
        <v>7847.4843889384483</v>
      </c>
      <c r="V245" s="10">
        <v>72.91</v>
      </c>
      <c r="W245" s="10">
        <v>63.17</v>
      </c>
      <c r="X245" s="7">
        <v>1</v>
      </c>
    </row>
    <row r="246" spans="1:24" hidden="1" x14ac:dyDescent="0.25">
      <c r="A246" s="3">
        <v>2025</v>
      </c>
      <c r="B246" s="2" t="s">
        <v>406</v>
      </c>
      <c r="C246" s="6" t="s">
        <v>91</v>
      </c>
      <c r="D246" s="6" t="s">
        <v>92</v>
      </c>
      <c r="E246" s="6" t="s">
        <v>26</v>
      </c>
      <c r="F246" s="7" t="s">
        <v>444</v>
      </c>
      <c r="G246" s="7">
        <v>702</v>
      </c>
      <c r="H246" s="6">
        <v>2</v>
      </c>
      <c r="I246" s="7">
        <v>7</v>
      </c>
      <c r="J246" s="6">
        <v>1</v>
      </c>
      <c r="K246" s="6">
        <v>6</v>
      </c>
      <c r="L246" s="7" t="s">
        <v>252</v>
      </c>
      <c r="M246" s="8" t="s">
        <v>31</v>
      </c>
      <c r="N246" s="9" t="s">
        <v>62</v>
      </c>
      <c r="O246" s="9" t="s">
        <v>259</v>
      </c>
      <c r="P246" s="10">
        <v>13.55</v>
      </c>
      <c r="Q246" s="10">
        <v>12.9</v>
      </c>
      <c r="R246" s="10">
        <v>44.1</v>
      </c>
      <c r="S246" s="10">
        <v>7835.32</v>
      </c>
      <c r="T246" s="10">
        <v>8782.2199999999993</v>
      </c>
      <c r="U246" s="11">
        <f t="shared" si="3"/>
        <v>7834.2729705619977</v>
      </c>
      <c r="V246" s="10">
        <v>73.2</v>
      </c>
      <c r="W246" s="10">
        <v>62.4</v>
      </c>
      <c r="X246" s="7">
        <v>1</v>
      </c>
    </row>
    <row r="247" spans="1:24" hidden="1" x14ac:dyDescent="0.25">
      <c r="A247" s="3">
        <v>2025</v>
      </c>
      <c r="B247" s="2" t="s">
        <v>406</v>
      </c>
      <c r="C247" s="6" t="s">
        <v>91</v>
      </c>
      <c r="D247" s="6" t="s">
        <v>92</v>
      </c>
      <c r="E247" s="6" t="s">
        <v>26</v>
      </c>
      <c r="F247" s="7" t="s">
        <v>445</v>
      </c>
      <c r="G247" s="7">
        <v>703</v>
      </c>
      <c r="H247" s="6">
        <v>3</v>
      </c>
      <c r="I247" s="7">
        <v>7</v>
      </c>
      <c r="J247" s="6">
        <v>2</v>
      </c>
      <c r="K247" s="6">
        <v>1</v>
      </c>
      <c r="L247" s="7" t="s">
        <v>252</v>
      </c>
      <c r="M247" s="8" t="s">
        <v>469</v>
      </c>
      <c r="N247" s="8" t="s">
        <v>469</v>
      </c>
      <c r="O247" s="8" t="s">
        <v>469</v>
      </c>
      <c r="P247" s="10">
        <v>10.8</v>
      </c>
      <c r="Q247" s="10">
        <v>12.4</v>
      </c>
      <c r="R247" s="10">
        <v>44.4</v>
      </c>
      <c r="S247" s="10">
        <v>6280.98</v>
      </c>
      <c r="T247" s="10">
        <v>7040.03</v>
      </c>
      <c r="U247" s="11">
        <f t="shared" si="3"/>
        <v>6280.1338090990184</v>
      </c>
      <c r="V247" s="10">
        <v>73.06</v>
      </c>
      <c r="W247" s="10">
        <v>60.53</v>
      </c>
      <c r="X247" s="7">
        <v>2</v>
      </c>
    </row>
    <row r="248" spans="1:24" hidden="1" x14ac:dyDescent="0.25">
      <c r="A248" s="3">
        <v>2025</v>
      </c>
      <c r="B248" s="2" t="s">
        <v>406</v>
      </c>
      <c r="C248" s="6" t="s">
        <v>91</v>
      </c>
      <c r="D248" s="6" t="s">
        <v>92</v>
      </c>
      <c r="E248" s="6" t="s">
        <v>26</v>
      </c>
      <c r="F248" s="7" t="s">
        <v>446</v>
      </c>
      <c r="G248" s="7">
        <v>704</v>
      </c>
      <c r="H248" s="6">
        <v>4</v>
      </c>
      <c r="I248" s="7">
        <v>7</v>
      </c>
      <c r="J248" s="6">
        <v>2</v>
      </c>
      <c r="K248" s="6">
        <v>4</v>
      </c>
      <c r="L248" s="7" t="s">
        <v>252</v>
      </c>
      <c r="M248" s="8" t="s">
        <v>31</v>
      </c>
      <c r="N248" s="9" t="s">
        <v>58</v>
      </c>
      <c r="O248" s="9" t="s">
        <v>259</v>
      </c>
      <c r="P248" s="10">
        <v>13.65</v>
      </c>
      <c r="Q248" s="10">
        <v>13</v>
      </c>
      <c r="R248" s="10">
        <v>44.1</v>
      </c>
      <c r="S248" s="10">
        <v>7884.08</v>
      </c>
      <c r="T248" s="10">
        <v>8836.8700000000008</v>
      </c>
      <c r="U248" s="11">
        <f t="shared" si="3"/>
        <v>7883.0240856378241</v>
      </c>
      <c r="V248" s="10">
        <v>72.27</v>
      </c>
      <c r="W248" s="10">
        <v>59.86</v>
      </c>
      <c r="X248" s="7">
        <v>1</v>
      </c>
    </row>
    <row r="249" spans="1:24" hidden="1" x14ac:dyDescent="0.25">
      <c r="A249" s="3">
        <v>2025</v>
      </c>
      <c r="B249" s="2" t="s">
        <v>406</v>
      </c>
      <c r="C249" s="6" t="s">
        <v>91</v>
      </c>
      <c r="D249" s="6" t="s">
        <v>92</v>
      </c>
      <c r="E249" s="6" t="s">
        <v>26</v>
      </c>
      <c r="F249" s="7" t="s">
        <v>447</v>
      </c>
      <c r="G249" s="7">
        <v>705</v>
      </c>
      <c r="H249" s="6">
        <v>5</v>
      </c>
      <c r="I249" s="7">
        <v>7</v>
      </c>
      <c r="J249" s="6">
        <v>3</v>
      </c>
      <c r="K249" s="6">
        <v>7</v>
      </c>
      <c r="L249" s="7" t="s">
        <v>252</v>
      </c>
      <c r="M249" s="8" t="s">
        <v>31</v>
      </c>
      <c r="N249" s="9" t="s">
        <v>59</v>
      </c>
      <c r="O249" s="9" t="s">
        <v>259</v>
      </c>
      <c r="P249" s="10">
        <v>13.85</v>
      </c>
      <c r="Q249" s="10">
        <v>11</v>
      </c>
      <c r="R249" s="10">
        <v>45</v>
      </c>
      <c r="S249" s="10">
        <v>8183.5</v>
      </c>
      <c r="T249" s="10">
        <v>9172.48</v>
      </c>
      <c r="U249" s="11">
        <f t="shared" si="3"/>
        <v>8182.4085637823364</v>
      </c>
      <c r="V249" s="10">
        <v>72.47</v>
      </c>
      <c r="W249" s="10">
        <v>59.73</v>
      </c>
      <c r="X249" s="7">
        <v>1</v>
      </c>
    </row>
    <row r="250" spans="1:24" hidden="1" x14ac:dyDescent="0.25">
      <c r="A250" s="3">
        <v>2025</v>
      </c>
      <c r="B250" s="2" t="s">
        <v>406</v>
      </c>
      <c r="C250" s="6" t="s">
        <v>91</v>
      </c>
      <c r="D250" s="6" t="s">
        <v>92</v>
      </c>
      <c r="E250" s="6" t="s">
        <v>26</v>
      </c>
      <c r="F250" s="7" t="s">
        <v>448</v>
      </c>
      <c r="G250" s="7">
        <v>706</v>
      </c>
      <c r="H250" s="6">
        <v>6</v>
      </c>
      <c r="I250" s="7">
        <v>7</v>
      </c>
      <c r="J250" s="6">
        <v>3</v>
      </c>
      <c r="K250" s="6">
        <v>8</v>
      </c>
      <c r="L250" s="7" t="s">
        <v>252</v>
      </c>
      <c r="M250" s="8" t="s">
        <v>31</v>
      </c>
      <c r="N250" s="9" t="s">
        <v>61</v>
      </c>
      <c r="O250" s="9" t="s">
        <v>259</v>
      </c>
      <c r="P250" s="10">
        <v>13.06</v>
      </c>
      <c r="Q250" s="10">
        <v>10.8</v>
      </c>
      <c r="R250" s="10">
        <v>45.2</v>
      </c>
      <c r="S250" s="10">
        <v>7734.06</v>
      </c>
      <c r="T250" s="10">
        <v>8668.7199999999993</v>
      </c>
      <c r="U250" s="11">
        <f t="shared" si="3"/>
        <v>7733.0240856378232</v>
      </c>
      <c r="V250" s="10">
        <v>72.31</v>
      </c>
      <c r="W250" s="10">
        <v>61.13</v>
      </c>
      <c r="X250" s="7">
        <v>1</v>
      </c>
    </row>
    <row r="251" spans="1:24" hidden="1" x14ac:dyDescent="0.25">
      <c r="A251" s="3">
        <v>2025</v>
      </c>
      <c r="B251" s="2" t="s">
        <v>406</v>
      </c>
      <c r="C251" s="6" t="s">
        <v>91</v>
      </c>
      <c r="D251" s="6" t="s">
        <v>92</v>
      </c>
      <c r="E251" s="6" t="s">
        <v>26</v>
      </c>
      <c r="F251" s="7" t="s">
        <v>449</v>
      </c>
      <c r="G251" s="7">
        <v>801</v>
      </c>
      <c r="H251" s="6">
        <v>1</v>
      </c>
      <c r="I251" s="7">
        <v>8</v>
      </c>
      <c r="J251" s="6">
        <v>1</v>
      </c>
      <c r="K251" s="6">
        <v>20</v>
      </c>
      <c r="L251" s="7" t="s">
        <v>252</v>
      </c>
      <c r="M251" s="8" t="s">
        <v>254</v>
      </c>
      <c r="N251" s="9" t="s">
        <v>61</v>
      </c>
      <c r="O251" s="9" t="s">
        <v>258</v>
      </c>
      <c r="P251" s="10">
        <v>13.78</v>
      </c>
      <c r="Q251" s="10">
        <v>12.9</v>
      </c>
      <c r="R251" s="10">
        <v>44.2</v>
      </c>
      <c r="S251" s="10">
        <v>7968.32</v>
      </c>
      <c r="T251" s="10">
        <v>8931.2900000000009</v>
      </c>
      <c r="U251" s="11">
        <f t="shared" si="3"/>
        <v>7967.2524531668159</v>
      </c>
      <c r="V251" s="10">
        <v>72.650000000000006</v>
      </c>
      <c r="W251" s="10">
        <v>62.38</v>
      </c>
      <c r="X251" s="7">
        <v>1</v>
      </c>
    </row>
    <row r="252" spans="1:24" hidden="1" x14ac:dyDescent="0.25">
      <c r="A252" s="3">
        <v>2025</v>
      </c>
      <c r="B252" s="2" t="s">
        <v>406</v>
      </c>
      <c r="C252" s="6" t="s">
        <v>91</v>
      </c>
      <c r="D252" s="6" t="s">
        <v>92</v>
      </c>
      <c r="E252" s="6" t="s">
        <v>26</v>
      </c>
      <c r="F252" s="7" t="s">
        <v>450</v>
      </c>
      <c r="G252" s="7">
        <v>802</v>
      </c>
      <c r="H252" s="6">
        <v>2</v>
      </c>
      <c r="I252" s="7">
        <v>8</v>
      </c>
      <c r="J252" s="6">
        <v>1</v>
      </c>
      <c r="K252" s="6">
        <v>5</v>
      </c>
      <c r="L252" s="7" t="s">
        <v>252</v>
      </c>
      <c r="M252" s="8" t="s">
        <v>31</v>
      </c>
      <c r="N252" s="9" t="s">
        <v>60</v>
      </c>
      <c r="O252" s="9" t="s">
        <v>259</v>
      </c>
      <c r="P252" s="10">
        <v>14.29</v>
      </c>
      <c r="Q252" s="10">
        <v>11</v>
      </c>
      <c r="R252" s="10">
        <v>45.1</v>
      </c>
      <c r="S252" s="10">
        <v>8443.48</v>
      </c>
      <c r="T252" s="10">
        <v>9463.8799999999992</v>
      </c>
      <c r="U252" s="11">
        <f t="shared" si="3"/>
        <v>8442.3550401427292</v>
      </c>
      <c r="V252" s="10">
        <v>72.599999999999994</v>
      </c>
      <c r="W252" s="10">
        <v>60.72</v>
      </c>
      <c r="X252" s="7">
        <v>1</v>
      </c>
    </row>
    <row r="253" spans="1:24" hidden="1" x14ac:dyDescent="0.25">
      <c r="A253" s="3">
        <v>2025</v>
      </c>
      <c r="B253" s="2" t="s">
        <v>406</v>
      </c>
      <c r="C253" s="6" t="s">
        <v>91</v>
      </c>
      <c r="D253" s="6" t="s">
        <v>92</v>
      </c>
      <c r="E253" s="6" t="s">
        <v>26</v>
      </c>
      <c r="F253" s="7" t="s">
        <v>451</v>
      </c>
      <c r="G253" s="7">
        <v>803</v>
      </c>
      <c r="H253" s="6">
        <v>3</v>
      </c>
      <c r="I253" s="7">
        <v>8</v>
      </c>
      <c r="J253" s="6">
        <v>2</v>
      </c>
      <c r="K253" s="6">
        <v>18</v>
      </c>
      <c r="L253" s="7" t="s">
        <v>252</v>
      </c>
      <c r="M253" s="8" t="s">
        <v>254</v>
      </c>
      <c r="N253" s="9" t="s">
        <v>62</v>
      </c>
      <c r="O253" s="9" t="s">
        <v>258</v>
      </c>
      <c r="P253" s="10">
        <v>13.3</v>
      </c>
      <c r="Q253" s="10">
        <v>12.3</v>
      </c>
      <c r="R253" s="10">
        <v>44.5</v>
      </c>
      <c r="S253" s="10">
        <v>7743.74</v>
      </c>
      <c r="T253" s="10">
        <v>8679.57</v>
      </c>
      <c r="U253" s="11">
        <f t="shared" si="3"/>
        <v>7742.7029438001782</v>
      </c>
      <c r="V253" s="10">
        <v>72.61</v>
      </c>
      <c r="W253" s="10">
        <v>61.92</v>
      </c>
      <c r="X253" s="7">
        <v>2</v>
      </c>
    </row>
    <row r="254" spans="1:24" hidden="1" x14ac:dyDescent="0.25">
      <c r="A254" s="3">
        <v>2025</v>
      </c>
      <c r="B254" s="2" t="s">
        <v>406</v>
      </c>
      <c r="C254" s="6" t="s">
        <v>91</v>
      </c>
      <c r="D254" s="6" t="s">
        <v>92</v>
      </c>
      <c r="E254" s="6" t="s">
        <v>26</v>
      </c>
      <c r="F254" s="7" t="s">
        <v>452</v>
      </c>
      <c r="G254" s="7">
        <v>804</v>
      </c>
      <c r="H254" s="6">
        <v>4</v>
      </c>
      <c r="I254" s="7">
        <v>8</v>
      </c>
      <c r="J254" s="6">
        <v>2</v>
      </c>
      <c r="K254" s="6">
        <v>5</v>
      </c>
      <c r="L254" s="7" t="s">
        <v>252</v>
      </c>
      <c r="M254" s="8" t="s">
        <v>31</v>
      </c>
      <c r="N254" s="9" t="s">
        <v>60</v>
      </c>
      <c r="O254" s="9" t="s">
        <v>259</v>
      </c>
      <c r="P254" s="10">
        <v>14.45</v>
      </c>
      <c r="Q254" s="10">
        <v>10.8</v>
      </c>
      <c r="R254" s="10">
        <v>45.2</v>
      </c>
      <c r="S254" s="10">
        <v>8557.2099999999991</v>
      </c>
      <c r="T254" s="10">
        <v>9591.34</v>
      </c>
      <c r="U254" s="11">
        <f t="shared" si="3"/>
        <v>8556.0570918822486</v>
      </c>
      <c r="V254" s="10">
        <v>72.73</v>
      </c>
      <c r="W254" s="10">
        <v>62.3</v>
      </c>
      <c r="X254" s="7">
        <v>1</v>
      </c>
    </row>
    <row r="255" spans="1:24" hidden="1" x14ac:dyDescent="0.25">
      <c r="A255" s="3">
        <v>2025</v>
      </c>
      <c r="B255" s="2" t="s">
        <v>406</v>
      </c>
      <c r="C255" s="6" t="s">
        <v>91</v>
      </c>
      <c r="D255" s="6" t="s">
        <v>92</v>
      </c>
      <c r="E255" s="6" t="s">
        <v>26</v>
      </c>
      <c r="F255" s="7" t="s">
        <v>453</v>
      </c>
      <c r="G255" s="7">
        <v>805</v>
      </c>
      <c r="H255" s="6">
        <v>5</v>
      </c>
      <c r="I255" s="7">
        <v>8</v>
      </c>
      <c r="J255" s="6">
        <v>3</v>
      </c>
      <c r="K255" s="6">
        <v>3</v>
      </c>
      <c r="L255" s="7" t="s">
        <v>252</v>
      </c>
      <c r="M255" s="8" t="s">
        <v>31</v>
      </c>
      <c r="N255" s="9" t="s">
        <v>57</v>
      </c>
      <c r="O255" s="9" t="s">
        <v>259</v>
      </c>
      <c r="P255" s="10">
        <v>13.99</v>
      </c>
      <c r="Q255" s="10">
        <v>10.9</v>
      </c>
      <c r="R255" s="10">
        <v>45.1</v>
      </c>
      <c r="S255" s="10">
        <v>8275.51</v>
      </c>
      <c r="T255" s="10">
        <v>9275.6</v>
      </c>
      <c r="U255" s="11">
        <f t="shared" si="3"/>
        <v>8274.3978590544157</v>
      </c>
      <c r="V255" s="10">
        <v>72.75</v>
      </c>
      <c r="W255" s="10">
        <v>60.81</v>
      </c>
      <c r="X255" s="7">
        <v>1</v>
      </c>
    </row>
    <row r="256" spans="1:24" hidden="1" x14ac:dyDescent="0.25">
      <c r="A256" s="3">
        <v>2025</v>
      </c>
      <c r="B256" s="2" t="s">
        <v>406</v>
      </c>
      <c r="C256" s="6" t="s">
        <v>91</v>
      </c>
      <c r="D256" s="6" t="s">
        <v>92</v>
      </c>
      <c r="E256" s="6" t="s">
        <v>26</v>
      </c>
      <c r="F256" s="7" t="s">
        <v>454</v>
      </c>
      <c r="G256" s="7">
        <v>806</v>
      </c>
      <c r="H256" s="6">
        <v>6</v>
      </c>
      <c r="I256" s="7">
        <v>8</v>
      </c>
      <c r="J256" s="6">
        <v>3</v>
      </c>
      <c r="K256" s="6">
        <v>2</v>
      </c>
      <c r="L256" s="7" t="s">
        <v>252</v>
      </c>
      <c r="M256" s="8" t="s">
        <v>469</v>
      </c>
      <c r="N256" s="8" t="s">
        <v>469</v>
      </c>
      <c r="O256" s="8" t="s">
        <v>469</v>
      </c>
      <c r="P256" s="10">
        <v>13.5</v>
      </c>
      <c r="Q256" s="10">
        <v>10.5</v>
      </c>
      <c r="R256" s="10">
        <v>45.2</v>
      </c>
      <c r="S256" s="10">
        <v>8021.51</v>
      </c>
      <c r="T256" s="10">
        <v>8990.91</v>
      </c>
      <c r="U256" s="11">
        <f t="shared" si="3"/>
        <v>8020.4371097234607</v>
      </c>
      <c r="V256" s="10">
        <v>71.7</v>
      </c>
      <c r="W256" s="10">
        <v>59.65</v>
      </c>
      <c r="X256" s="7">
        <v>1</v>
      </c>
    </row>
    <row r="257" spans="1:24" hidden="1" x14ac:dyDescent="0.25">
      <c r="A257" s="3">
        <v>2025</v>
      </c>
      <c r="B257" s="2" t="s">
        <v>406</v>
      </c>
      <c r="C257" s="6" t="s">
        <v>91</v>
      </c>
      <c r="D257" s="6" t="s">
        <v>92</v>
      </c>
      <c r="E257" s="6" t="s">
        <v>26</v>
      </c>
      <c r="F257" s="7" t="s">
        <v>455</v>
      </c>
      <c r="G257" s="7">
        <v>901</v>
      </c>
      <c r="H257" s="6">
        <v>1</v>
      </c>
      <c r="I257" s="7">
        <v>9</v>
      </c>
      <c r="J257" s="6">
        <v>1</v>
      </c>
      <c r="K257" s="6">
        <v>14</v>
      </c>
      <c r="L257" s="7" t="s">
        <v>252</v>
      </c>
      <c r="M257" s="8" t="s">
        <v>253</v>
      </c>
      <c r="N257" s="9" t="s">
        <v>61</v>
      </c>
      <c r="O257" s="9" t="s">
        <v>257</v>
      </c>
      <c r="P257" s="10">
        <v>13.59</v>
      </c>
      <c r="Q257" s="10">
        <v>12.5</v>
      </c>
      <c r="R257" s="10">
        <v>44.5</v>
      </c>
      <c r="S257" s="10">
        <v>7894.54</v>
      </c>
      <c r="T257" s="10">
        <v>8848.59</v>
      </c>
      <c r="U257" s="11">
        <f t="shared" si="3"/>
        <v>7893.4790365744875</v>
      </c>
      <c r="V257" s="10">
        <v>72.180000000000007</v>
      </c>
      <c r="W257" s="10">
        <v>60.01</v>
      </c>
      <c r="X257" s="7">
        <v>0</v>
      </c>
    </row>
    <row r="258" spans="1:24" hidden="1" x14ac:dyDescent="0.25">
      <c r="A258" s="3">
        <v>2025</v>
      </c>
      <c r="B258" s="2" t="s">
        <v>406</v>
      </c>
      <c r="C258" s="6" t="s">
        <v>91</v>
      </c>
      <c r="D258" s="6" t="s">
        <v>92</v>
      </c>
      <c r="E258" s="6" t="s">
        <v>26</v>
      </c>
      <c r="F258" s="7" t="s">
        <v>456</v>
      </c>
      <c r="G258" s="7">
        <v>902</v>
      </c>
      <c r="H258" s="6">
        <v>2</v>
      </c>
      <c r="I258" s="7">
        <v>9</v>
      </c>
      <c r="J258" s="6">
        <v>1</v>
      </c>
      <c r="K258" s="6">
        <v>9</v>
      </c>
      <c r="L258" s="7" t="s">
        <v>252</v>
      </c>
      <c r="M258" s="8" t="s">
        <v>253</v>
      </c>
      <c r="N258" s="9" t="s">
        <v>57</v>
      </c>
      <c r="O258" s="9" t="s">
        <v>257</v>
      </c>
      <c r="P258" s="10">
        <v>12.5</v>
      </c>
      <c r="Q258" s="10">
        <v>11.2</v>
      </c>
      <c r="R258" s="10">
        <v>45</v>
      </c>
      <c r="S258" s="10">
        <v>7369.23</v>
      </c>
      <c r="T258" s="10">
        <v>8259.7999999999993</v>
      </c>
      <c r="U258" s="11">
        <f t="shared" si="3"/>
        <v>7368.2426404995531</v>
      </c>
      <c r="V258" s="10">
        <v>71.87</v>
      </c>
      <c r="W258" s="10">
        <v>58.58</v>
      </c>
      <c r="X258" s="7">
        <v>1</v>
      </c>
    </row>
    <row r="259" spans="1:24" hidden="1" x14ac:dyDescent="0.25">
      <c r="A259" s="3">
        <v>2025</v>
      </c>
      <c r="B259" s="2" t="s">
        <v>406</v>
      </c>
      <c r="C259" s="6" t="s">
        <v>91</v>
      </c>
      <c r="D259" s="6" t="s">
        <v>92</v>
      </c>
      <c r="E259" s="6" t="s">
        <v>26</v>
      </c>
      <c r="F259" s="7" t="s">
        <v>457</v>
      </c>
      <c r="G259" s="7">
        <v>903</v>
      </c>
      <c r="H259" s="6">
        <v>3</v>
      </c>
      <c r="I259" s="7">
        <v>9</v>
      </c>
      <c r="J259" s="6">
        <v>2</v>
      </c>
      <c r="K259" s="6">
        <v>14</v>
      </c>
      <c r="L259" s="7" t="s">
        <v>252</v>
      </c>
      <c r="M259" s="8" t="s">
        <v>253</v>
      </c>
      <c r="N259" s="9" t="s">
        <v>61</v>
      </c>
      <c r="O259" s="9" t="s">
        <v>257</v>
      </c>
      <c r="P259" s="10">
        <v>11.53</v>
      </c>
      <c r="Q259" s="10">
        <v>16.5</v>
      </c>
      <c r="R259" s="10">
        <v>41.4</v>
      </c>
      <c r="S259" s="10">
        <v>6391.68</v>
      </c>
      <c r="T259" s="10">
        <v>7164.12</v>
      </c>
      <c r="U259" s="11">
        <f t="shared" ref="U259:U268" si="4">T259/1.121</f>
        <v>6390.8296164139165</v>
      </c>
      <c r="V259" s="10">
        <v>72.06</v>
      </c>
      <c r="W259" s="10">
        <v>60.62</v>
      </c>
      <c r="X259" s="7">
        <v>1</v>
      </c>
    </row>
    <row r="260" spans="1:24" hidden="1" x14ac:dyDescent="0.25">
      <c r="A260" s="3">
        <v>2025</v>
      </c>
      <c r="B260" s="2" t="s">
        <v>406</v>
      </c>
      <c r="C260" s="6" t="s">
        <v>91</v>
      </c>
      <c r="D260" s="6" t="s">
        <v>92</v>
      </c>
      <c r="E260" s="6" t="s">
        <v>26</v>
      </c>
      <c r="F260" s="7" t="s">
        <v>458</v>
      </c>
      <c r="G260" s="7">
        <v>904</v>
      </c>
      <c r="H260" s="6">
        <v>4</v>
      </c>
      <c r="I260" s="7">
        <v>9</v>
      </c>
      <c r="J260" s="6">
        <v>2</v>
      </c>
      <c r="K260" s="6">
        <v>12</v>
      </c>
      <c r="L260" s="7" t="s">
        <v>252</v>
      </c>
      <c r="M260" s="8" t="s">
        <v>253</v>
      </c>
      <c r="N260" s="9" t="s">
        <v>62</v>
      </c>
      <c r="O260" s="9" t="s">
        <v>257</v>
      </c>
      <c r="P260" s="10">
        <v>13.02</v>
      </c>
      <c r="Q260" s="10">
        <v>10.7</v>
      </c>
      <c r="R260" s="10">
        <v>45.2</v>
      </c>
      <c r="S260" s="10">
        <v>7719.01</v>
      </c>
      <c r="T260" s="10">
        <v>8651.86</v>
      </c>
      <c r="U260" s="11">
        <f t="shared" si="4"/>
        <v>7717.9839429081185</v>
      </c>
      <c r="V260" s="10">
        <v>72.72</v>
      </c>
      <c r="W260" s="10">
        <v>61.03</v>
      </c>
      <c r="X260" s="7">
        <v>0</v>
      </c>
    </row>
    <row r="261" spans="1:24" hidden="1" x14ac:dyDescent="0.25">
      <c r="A261" s="3">
        <v>2025</v>
      </c>
      <c r="B261" s="2" t="s">
        <v>406</v>
      </c>
      <c r="C261" s="6" t="s">
        <v>91</v>
      </c>
      <c r="D261" s="6" t="s">
        <v>92</v>
      </c>
      <c r="E261" s="6" t="s">
        <v>26</v>
      </c>
      <c r="F261" s="7" t="s">
        <v>459</v>
      </c>
      <c r="G261" s="7">
        <v>905</v>
      </c>
      <c r="H261" s="6">
        <v>5</v>
      </c>
      <c r="I261" s="7">
        <v>9</v>
      </c>
      <c r="J261" s="6">
        <v>3</v>
      </c>
      <c r="K261" s="6">
        <v>9</v>
      </c>
      <c r="L261" s="7" t="s">
        <v>252</v>
      </c>
      <c r="M261" s="8" t="s">
        <v>253</v>
      </c>
      <c r="N261" s="9" t="s">
        <v>57</v>
      </c>
      <c r="O261" s="9" t="s">
        <v>257</v>
      </c>
      <c r="P261" s="10">
        <v>13.13</v>
      </c>
      <c r="Q261" s="10">
        <v>11</v>
      </c>
      <c r="R261" s="10">
        <v>45.1</v>
      </c>
      <c r="S261" s="10">
        <v>7758.08</v>
      </c>
      <c r="T261" s="10">
        <v>8695.64</v>
      </c>
      <c r="U261" s="11">
        <f t="shared" si="4"/>
        <v>7757.0383586083844</v>
      </c>
      <c r="V261" s="10">
        <v>71.819999999999993</v>
      </c>
      <c r="W261" s="10">
        <v>59.1</v>
      </c>
      <c r="X261" s="7">
        <v>1</v>
      </c>
    </row>
    <row r="262" spans="1:24" hidden="1" x14ac:dyDescent="0.25">
      <c r="A262" s="3">
        <v>2025</v>
      </c>
      <c r="B262" s="2" t="s">
        <v>406</v>
      </c>
      <c r="C262" s="6" t="s">
        <v>91</v>
      </c>
      <c r="D262" s="6" t="s">
        <v>92</v>
      </c>
      <c r="E262" s="6" t="s">
        <v>26</v>
      </c>
      <c r="F262" s="7" t="s">
        <v>460</v>
      </c>
      <c r="G262" s="7">
        <v>906</v>
      </c>
      <c r="H262" s="6">
        <v>6</v>
      </c>
      <c r="I262" s="7">
        <v>9</v>
      </c>
      <c r="J262" s="6">
        <v>3</v>
      </c>
      <c r="K262" s="6">
        <v>20</v>
      </c>
      <c r="L262" s="7" t="s">
        <v>252</v>
      </c>
      <c r="M262" s="8" t="s">
        <v>254</v>
      </c>
      <c r="N262" s="9" t="s">
        <v>61</v>
      </c>
      <c r="O262" s="9" t="s">
        <v>258</v>
      </c>
      <c r="P262" s="10">
        <v>13.3</v>
      </c>
      <c r="Q262" s="10">
        <v>11.4</v>
      </c>
      <c r="R262" s="10">
        <v>44.8</v>
      </c>
      <c r="S262" s="10">
        <v>7823.2</v>
      </c>
      <c r="T262" s="10">
        <v>8768.64</v>
      </c>
      <c r="U262" s="11">
        <f t="shared" si="4"/>
        <v>7822.1587867975013</v>
      </c>
      <c r="V262" s="10">
        <v>72.010000000000005</v>
      </c>
      <c r="W262" s="10">
        <v>60.14</v>
      </c>
      <c r="X262" s="7">
        <v>1</v>
      </c>
    </row>
    <row r="263" spans="1:24" hidden="1" x14ac:dyDescent="0.25">
      <c r="A263" s="3">
        <v>2025</v>
      </c>
      <c r="B263" s="2" t="s">
        <v>406</v>
      </c>
      <c r="C263" s="6" t="s">
        <v>91</v>
      </c>
      <c r="D263" s="6" t="s">
        <v>92</v>
      </c>
      <c r="E263" s="6" t="s">
        <v>26</v>
      </c>
      <c r="F263" s="7" t="s">
        <v>461</v>
      </c>
      <c r="G263" s="7">
        <v>1001</v>
      </c>
      <c r="H263" s="6">
        <v>1</v>
      </c>
      <c r="I263" s="7">
        <v>10</v>
      </c>
      <c r="J263" s="6">
        <v>1</v>
      </c>
      <c r="K263" s="6">
        <v>16</v>
      </c>
      <c r="L263" s="7" t="s">
        <v>252</v>
      </c>
      <c r="M263" s="8" t="s">
        <v>254</v>
      </c>
      <c r="N263" s="9" t="s">
        <v>58</v>
      </c>
      <c r="O263" s="9" t="s">
        <v>258</v>
      </c>
      <c r="P263" s="10">
        <v>13.63</v>
      </c>
      <c r="Q263" s="10">
        <v>12.9</v>
      </c>
      <c r="R263" s="10">
        <v>44.1</v>
      </c>
      <c r="S263" s="10">
        <v>7881.58</v>
      </c>
      <c r="T263" s="10">
        <v>8834.07</v>
      </c>
      <c r="U263" s="11">
        <f t="shared" si="4"/>
        <v>7880.5263157894733</v>
      </c>
      <c r="V263" s="10">
        <v>72.06</v>
      </c>
      <c r="W263" s="10">
        <v>60.59</v>
      </c>
      <c r="X263" s="7">
        <v>1</v>
      </c>
    </row>
    <row r="264" spans="1:24" hidden="1" x14ac:dyDescent="0.25">
      <c r="A264" s="3">
        <v>2025</v>
      </c>
      <c r="B264" s="2" t="s">
        <v>406</v>
      </c>
      <c r="C264" s="6" t="s">
        <v>91</v>
      </c>
      <c r="D264" s="6" t="s">
        <v>92</v>
      </c>
      <c r="E264" s="6" t="s">
        <v>26</v>
      </c>
      <c r="F264" s="7" t="s">
        <v>462</v>
      </c>
      <c r="G264" s="7">
        <v>1002</v>
      </c>
      <c r="H264" s="6">
        <v>2</v>
      </c>
      <c r="I264" s="7">
        <v>10</v>
      </c>
      <c r="J264" s="6">
        <v>1</v>
      </c>
      <c r="K264" s="6">
        <v>18</v>
      </c>
      <c r="L264" s="7" t="s">
        <v>252</v>
      </c>
      <c r="M264" s="8" t="s">
        <v>254</v>
      </c>
      <c r="N264" s="9" t="s">
        <v>62</v>
      </c>
      <c r="O264" s="9" t="s">
        <v>258</v>
      </c>
      <c r="P264" s="10">
        <v>14.59</v>
      </c>
      <c r="Q264" s="10">
        <v>12.4</v>
      </c>
      <c r="R264" s="10">
        <v>44.5</v>
      </c>
      <c r="S264" s="10">
        <v>8485.1299999999992</v>
      </c>
      <c r="T264" s="10">
        <v>9510.56</v>
      </c>
      <c r="U264" s="11">
        <f t="shared" si="4"/>
        <v>8483.9964317573595</v>
      </c>
      <c r="V264" s="10">
        <v>71.87</v>
      </c>
      <c r="W264" s="10">
        <v>60.66</v>
      </c>
      <c r="X264" s="7">
        <v>0</v>
      </c>
    </row>
    <row r="265" spans="1:24" hidden="1" x14ac:dyDescent="0.25">
      <c r="A265" s="3">
        <v>2025</v>
      </c>
      <c r="B265" s="2" t="s">
        <v>406</v>
      </c>
      <c r="C265" s="6" t="s">
        <v>91</v>
      </c>
      <c r="D265" s="6" t="s">
        <v>92</v>
      </c>
      <c r="E265" s="6" t="s">
        <v>26</v>
      </c>
      <c r="F265" s="7" t="s">
        <v>463</v>
      </c>
      <c r="G265" s="7">
        <v>1003</v>
      </c>
      <c r="H265" s="6">
        <v>3</v>
      </c>
      <c r="I265" s="7">
        <v>10</v>
      </c>
      <c r="J265" s="6">
        <v>2</v>
      </c>
      <c r="K265" s="6">
        <v>10</v>
      </c>
      <c r="L265" s="7" t="s">
        <v>252</v>
      </c>
      <c r="M265" s="8" t="s">
        <v>253</v>
      </c>
      <c r="N265" s="9" t="s">
        <v>58</v>
      </c>
      <c r="O265" s="9" t="s">
        <v>257</v>
      </c>
      <c r="P265" s="10">
        <v>12.96</v>
      </c>
      <c r="Q265" s="10">
        <v>12.9</v>
      </c>
      <c r="R265" s="10">
        <v>44</v>
      </c>
      <c r="S265" s="10">
        <v>7494.15</v>
      </c>
      <c r="T265" s="10">
        <v>8399.82</v>
      </c>
      <c r="U265" s="11">
        <f t="shared" si="4"/>
        <v>7493.1489741302403</v>
      </c>
      <c r="V265" s="10">
        <v>71.84</v>
      </c>
      <c r="W265" s="10">
        <v>59.55</v>
      </c>
      <c r="X265" s="7">
        <v>1</v>
      </c>
    </row>
    <row r="266" spans="1:24" hidden="1" x14ac:dyDescent="0.25">
      <c r="A266" s="3">
        <v>2025</v>
      </c>
      <c r="B266" s="2" t="s">
        <v>406</v>
      </c>
      <c r="C266" s="6" t="s">
        <v>91</v>
      </c>
      <c r="D266" s="6" t="s">
        <v>92</v>
      </c>
      <c r="E266" s="6" t="s">
        <v>26</v>
      </c>
      <c r="F266" s="7" t="s">
        <v>464</v>
      </c>
      <c r="G266" s="7">
        <v>1004</v>
      </c>
      <c r="H266" s="6">
        <v>4</v>
      </c>
      <c r="I266" s="7">
        <v>10</v>
      </c>
      <c r="J266" s="6">
        <v>2</v>
      </c>
      <c r="K266" s="6">
        <v>15</v>
      </c>
      <c r="L266" s="7" t="s">
        <v>252</v>
      </c>
      <c r="M266" s="8" t="s">
        <v>254</v>
      </c>
      <c r="N266" s="9" t="s">
        <v>57</v>
      </c>
      <c r="O266" s="9" t="s">
        <v>258</v>
      </c>
      <c r="P266" s="10">
        <v>14.25</v>
      </c>
      <c r="Q266" s="10">
        <v>13.4</v>
      </c>
      <c r="R266" s="10">
        <v>43.5</v>
      </c>
      <c r="S266" s="10">
        <v>8192.7900000000009</v>
      </c>
      <c r="T266" s="10">
        <v>9182.89</v>
      </c>
      <c r="U266" s="11">
        <f t="shared" si="4"/>
        <v>8191.6949152542365</v>
      </c>
      <c r="V266" s="10">
        <v>71.38</v>
      </c>
      <c r="W266" s="10">
        <v>58.45</v>
      </c>
      <c r="X266" s="7">
        <v>2</v>
      </c>
    </row>
    <row r="267" spans="1:24" hidden="1" x14ac:dyDescent="0.25">
      <c r="A267" s="3">
        <v>2025</v>
      </c>
      <c r="B267" s="2" t="s">
        <v>406</v>
      </c>
      <c r="C267" s="6" t="s">
        <v>91</v>
      </c>
      <c r="D267" s="6" t="s">
        <v>92</v>
      </c>
      <c r="E267" s="6" t="s">
        <v>26</v>
      </c>
      <c r="F267" s="7" t="s">
        <v>465</v>
      </c>
      <c r="G267" s="7">
        <v>1005</v>
      </c>
      <c r="H267" s="6">
        <v>5</v>
      </c>
      <c r="I267" s="7">
        <v>10</v>
      </c>
      <c r="J267" s="6">
        <v>3</v>
      </c>
      <c r="K267" s="6">
        <v>13</v>
      </c>
      <c r="L267" s="7" t="s">
        <v>252</v>
      </c>
      <c r="M267" s="8" t="s">
        <v>253</v>
      </c>
      <c r="N267" s="9" t="s">
        <v>59</v>
      </c>
      <c r="O267" s="9" t="s">
        <v>257</v>
      </c>
      <c r="P267" s="10">
        <v>13.37</v>
      </c>
      <c r="Q267" s="10">
        <v>12.7</v>
      </c>
      <c r="R267" s="10">
        <v>44.2</v>
      </c>
      <c r="S267" s="10">
        <v>7748.99</v>
      </c>
      <c r="T267" s="10">
        <v>8685.4500000000007</v>
      </c>
      <c r="U267" s="11">
        <f t="shared" si="4"/>
        <v>7747.9482604817131</v>
      </c>
      <c r="V267" s="10">
        <v>71.55</v>
      </c>
      <c r="W267" s="10">
        <v>59.25</v>
      </c>
      <c r="X267" s="7">
        <v>1</v>
      </c>
    </row>
    <row r="268" spans="1:24" hidden="1" x14ac:dyDescent="0.25">
      <c r="A268" s="3">
        <v>2025</v>
      </c>
      <c r="B268" s="2" t="s">
        <v>406</v>
      </c>
      <c r="C268" s="6" t="s">
        <v>91</v>
      </c>
      <c r="D268" s="6" t="s">
        <v>92</v>
      </c>
      <c r="E268" s="6" t="s">
        <v>26</v>
      </c>
      <c r="F268" s="7" t="s">
        <v>466</v>
      </c>
      <c r="G268" s="7">
        <v>1006</v>
      </c>
      <c r="H268" s="6">
        <v>6</v>
      </c>
      <c r="I268" s="7">
        <v>10</v>
      </c>
      <c r="J268" s="6">
        <v>3</v>
      </c>
      <c r="K268" s="6">
        <v>14</v>
      </c>
      <c r="L268" s="7" t="s">
        <v>252</v>
      </c>
      <c r="M268" s="8" t="s">
        <v>253</v>
      </c>
      <c r="N268" s="9" t="s">
        <v>61</v>
      </c>
      <c r="O268" s="9" t="s">
        <v>257</v>
      </c>
      <c r="P268" s="10">
        <v>14.77</v>
      </c>
      <c r="Q268" s="10">
        <v>12.3</v>
      </c>
      <c r="R268" s="10">
        <v>44.4</v>
      </c>
      <c r="S268" s="10">
        <v>8599.6200000000008</v>
      </c>
      <c r="T268" s="10">
        <v>9638.89</v>
      </c>
      <c r="U268" s="11">
        <f t="shared" si="4"/>
        <v>8598.4745762711864</v>
      </c>
      <c r="V268" s="10">
        <v>71.67</v>
      </c>
      <c r="W268" s="10">
        <v>60.66</v>
      </c>
      <c r="X268" s="7">
        <v>1</v>
      </c>
    </row>
  </sheetData>
  <autoFilter ref="A1:X268" xr:uid="{89F7ED7A-89EF-4D25-B9EF-C92C4F4899FE}">
    <filterColumn colId="11">
      <filters>
        <filter val="PVL03"/>
      </filters>
    </filterColumn>
  </autoFilter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8B16406DF24E43A98D222CE34F1EF2" ma:contentTypeVersion="12" ma:contentTypeDescription="Create a new document." ma:contentTypeScope="" ma:versionID="c096b0cb6809c35262818d47acb86f92">
  <xsd:schema xmlns:xsd="http://www.w3.org/2001/XMLSchema" xmlns:xs="http://www.w3.org/2001/XMLSchema" xmlns:p="http://schemas.microsoft.com/office/2006/metadata/properties" xmlns:ns2="b2843789-6ce0-4c67-8bf3-b5ed13cce4b2" targetNamespace="http://schemas.microsoft.com/office/2006/metadata/properties" ma:root="true" ma:fieldsID="a513e3194161eb6bd4c9ae0bcc385172" ns2:_="">
    <xsd:import namespace="b2843789-6ce0-4c67-8bf3-b5ed13cce4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843789-6ce0-4c67-8bf3-b5ed13cce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6c98e9b-042d-48c3-b7c2-98407b15d1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843789-6ce0-4c67-8bf3-b5ed13cce4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1B1FE3-8739-421E-89C5-3584D16D6C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843789-6ce0-4c67-8bf3-b5ed13cce4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8CD45A-A0E8-4060-91AF-9B0DE1D865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0E192F-65F2-4B59-AEA2-95F93556C8D6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b2843789-6ce0-4c67-8bf3-b5ed13cce4b2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</vt:lpstr>
      <vt:lpstr>TIME24</vt:lpstr>
      <vt:lpstr>TIME25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Cerutti, Anderson Da Cruz</dc:creator>
  <cp:keywords/>
  <dc:description/>
  <cp:lastModifiedBy>Cerutti, Anderson Da Cruz</cp:lastModifiedBy>
  <cp:revision/>
  <dcterms:created xsi:type="dcterms:W3CDTF">2025-01-17T17:55:21Z</dcterms:created>
  <dcterms:modified xsi:type="dcterms:W3CDTF">2026-03-19T15:33:51Z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0x010100928B16406DF24E43A98D222CE34F1EF2</vt:lpwstr>
  </property>
  <property fmtid="{D5CDD505-2E9C-101B-9397-08002B2CF9AE}" pid="3" name="MediaServiceImageTags">
    <vt:lpwstr/>
  </property>
</Properties>
</file>